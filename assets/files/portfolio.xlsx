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16" windowHeight="10008" activeTab="2"/>
  </bookViews>
  <sheets>
    <sheet name="Raw_data" sheetId="1" r:id="rId1"/>
    <sheet name="Cleaned_data" sheetId="2" r:id="rId2"/>
    <sheet name="Dashboard" sheetId="3" r:id="rId3"/>
  </sheets>
  <definedNames>
    <definedName name="_xlnm._FilterDatabase" localSheetId="2" hidden="1">Dashboard!$N$1:$O$4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B1" i="3" l="1"/>
  <c r="B2" i="3"/>
  <c r="B5" i="3"/>
  <c r="B3" i="3" l="1"/>
  <c r="B4" i="3"/>
  <c r="K5" i="3"/>
  <c r="L8" i="3"/>
  <c r="K2" i="3" l="1"/>
  <c r="L3" i="3" l="1"/>
  <c r="L4" i="3"/>
  <c r="L5" i="3"/>
  <c r="L6" i="3"/>
  <c r="L7" i="3"/>
  <c r="L9" i="3"/>
  <c r="L2" i="3"/>
  <c r="K3" i="3"/>
  <c r="K4" i="3"/>
  <c r="K6" i="3"/>
  <c r="K7" i="3"/>
  <c r="K8" i="3"/>
  <c r="K9" i="3"/>
  <c r="G3" i="3" l="1"/>
  <c r="G4" i="3"/>
  <c r="G5" i="3"/>
  <c r="G6" i="3"/>
  <c r="G7" i="3"/>
  <c r="G8" i="3"/>
  <c r="G9" i="3"/>
  <c r="M4" i="2" l="1"/>
  <c r="M5" i="2"/>
  <c r="M6" i="2"/>
  <c r="M7" i="2"/>
  <c r="M8" i="2"/>
  <c r="M9" i="2"/>
  <c r="M10" i="2"/>
  <c r="H47" i="2" l="1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</calcChain>
</file>

<file path=xl/sharedStrings.xml><?xml version="1.0" encoding="utf-8"?>
<sst xmlns="http://schemas.openxmlformats.org/spreadsheetml/2006/main" count="239" uniqueCount="116">
  <si>
    <t>A           B           C           D           E           F</t>
  </si>
  <si>
    <t>Date        Category    Amount      Description Type        City</t>
  </si>
  <si>
    <t>01.01.2024  Еда         500         Продукты    Расход      Москва</t>
  </si>
  <si>
    <t>Jan-15      Продукты    1200 руб    Магазин     Расход      СПб</t>
  </si>
  <si>
    <t>2024/01/20  Кафе        -850        Ужин        Расход      Казань</t>
  </si>
  <si>
    <t>02.02.2024  Транспорт   300         Такси       Расход      Москва</t>
  </si>
  <si>
    <t>02.02.2024  Зарплата    50000       Аванс       Доход       Москва</t>
  </si>
  <si>
    <t>2024/02/10  Супермаркет 3500        Продукты    Расход      Новосибирск</t>
  </si>
  <si>
    <t>15.02.2024  Развлечения 700         Кино        Расход      СПб</t>
  </si>
  <si>
    <t>10.03.2024  Еда         600         Обед        Расход      Екатеринбург</t>
  </si>
  <si>
    <t>Mar-25      Зарплата    55000       Зарплата    Доход       Москва</t>
  </si>
  <si>
    <t>2024/03/28  Подарок     2500        Подарок     Расход      Казань</t>
  </si>
  <si>
    <t>01.04.2024  Прочее      150         Канцелярия  Расход      Воронеж</t>
  </si>
  <si>
    <t>01.04.2024  Зарплата    1000000     Премия      Доход       Москва</t>
  </si>
  <si>
    <t>05.04.2024  Транспорт   500         Заправка    Расход      Краснодар</t>
  </si>
  <si>
    <t>05.04.2024  Транспорт   500         Заправка    Расход      Сочи</t>
  </si>
  <si>
    <t>2024/04/15  Еда         800         Ужин        Расход      Ростов-на-Дону</t>
  </si>
  <si>
    <t>20.04.2024  Здоровье    1200        Витамины    Расход      Уфа</t>
  </si>
  <si>
    <t>2024-05-02  ЕДА         450         Завтрак     Расход      Нижний Новгород</t>
  </si>
  <si>
    <t>10.05.2024  Транспорт   1.200       Проездной   Расход      Самара</t>
  </si>
  <si>
    <t>15.05.2024  Зарплата    52000       Зарплата    Доход       Москва</t>
  </si>
  <si>
    <t>18.05.2024  Развлечения 1500        Концерт     Расход      СПб</t>
  </si>
  <si>
    <t>25.05.2024  Кафе        1300        Ужин        Расход      Москва</t>
  </si>
  <si>
    <t>01.06.2024  Транспорт   600         Такси       Расход      Казань</t>
  </si>
  <si>
    <t>05.06.2024  Одежда      4000        Джинсы      Расход      Екатеринбург</t>
  </si>
  <si>
    <t>10.06.2024  Зарплата    53000       Зарплата    Доход       Москва</t>
  </si>
  <si>
    <t>15.06.2024  Подарок     800         Цветы       Расход      Новосибирск</t>
  </si>
  <si>
    <t>20.06.2024  Еда         700         Обед        Расход      Воронеж</t>
  </si>
  <si>
    <t>25.06.2024  Развлечения 900         Кино        Расход      Краснодар</t>
  </si>
  <si>
    <t>30.06.2024  Прочее      300         Книга       Расход      Сочи</t>
  </si>
  <si>
    <t>02.07.2024  Транспорт   550         Заправка    Расход      Ростов-на-Дону</t>
  </si>
  <si>
    <t>05.07.2024  Еда         1200        Продукты    Расход      Уфа</t>
  </si>
  <si>
    <t>10.07.2024  Зарплата    54000       Зарплата    Доход       Москва</t>
  </si>
  <si>
    <t>12.07.2024  Здоровье    2500        Стоматолог  Расход      Нижний Новгород</t>
  </si>
  <si>
    <t>15.07.2024  Кафе        1100        Кофе        Расход      Самара</t>
  </si>
  <si>
    <t>18.07.2024  Развлечения 2000        Аквапарк    Расход      СПб</t>
  </si>
  <si>
    <t>22.07.2024  Подарок     5000        Подарок     Расход      Москва</t>
  </si>
  <si>
    <t>25.07.2024  Еда         900         Ужин        Расход      Казань</t>
  </si>
  <si>
    <t>28.07.2024  Транспорт   400         Такси       Расход      Екатеринбург</t>
  </si>
  <si>
    <t>01.08.2024  Прочее      200         Чайник      Расход      Новосибирск</t>
  </si>
  <si>
    <t>05.08.2024  Еда         650         Обед        Расход      Воронеж</t>
  </si>
  <si>
    <t>10.08.2024  Зарплата    56000       Зарплата    Доход       Москва</t>
  </si>
  <si>
    <t>12.08.2024  Одежда      3000        Кроссовки   Расход      Краснодар</t>
  </si>
  <si>
    <t>15.08.2024  Развлечения 1200        Боулинг     Расход      Сочи</t>
  </si>
  <si>
    <t>18.08.2024  Кафе        1800        Ужин        Расход      Ростов-на-Дону</t>
  </si>
  <si>
    <t>22.08.2024  Транспорт   700         Ремонт      Расход      Уфа</t>
  </si>
  <si>
    <t>25.08.2024  Еда         1400        Продукты    Расход      Нижний Новгород</t>
  </si>
  <si>
    <t>28.08.2024  Подарок     1500        Сувенир     Расход      Самара</t>
  </si>
  <si>
    <t>Даты</t>
  </si>
  <si>
    <t xml:space="preserve">Категории </t>
  </si>
  <si>
    <t>Количество</t>
  </si>
  <si>
    <t>Описание</t>
  </si>
  <si>
    <t>Месяц</t>
  </si>
  <si>
    <t>Размер транзакции</t>
  </si>
  <si>
    <t>Приоретет</t>
  </si>
  <si>
    <t>Еда</t>
  </si>
  <si>
    <t>Продукты</t>
  </si>
  <si>
    <t>Расход</t>
  </si>
  <si>
    <t>Магазин</t>
  </si>
  <si>
    <t>Кафе</t>
  </si>
  <si>
    <t>Ужин</t>
  </si>
  <si>
    <t>Транспорт</t>
  </si>
  <si>
    <t>Такси</t>
  </si>
  <si>
    <t>Зарплата</t>
  </si>
  <si>
    <t>Аванс</t>
  </si>
  <si>
    <t>Доход</t>
  </si>
  <si>
    <t>Супермаркет</t>
  </si>
  <si>
    <t>Развлечения</t>
  </si>
  <si>
    <t>Кино</t>
  </si>
  <si>
    <t>Обед</t>
  </si>
  <si>
    <t>Подарок</t>
  </si>
  <si>
    <t>Прочее</t>
  </si>
  <si>
    <t>Канцелярия</t>
  </si>
  <si>
    <t>Премия</t>
  </si>
  <si>
    <t>Заправка</t>
  </si>
  <si>
    <t>Здоровье</t>
  </si>
  <si>
    <t>Витамины</t>
  </si>
  <si>
    <t>Завтрак</t>
  </si>
  <si>
    <t>Проездной</t>
  </si>
  <si>
    <t>Концерт</t>
  </si>
  <si>
    <t>Одежда</t>
  </si>
  <si>
    <t>Джинсы</t>
  </si>
  <si>
    <t>Цветы</t>
  </si>
  <si>
    <t>Книга</t>
  </si>
  <si>
    <t>Стоматолог</t>
  </si>
  <si>
    <t>Кофе</t>
  </si>
  <si>
    <t>Аквапарк</t>
  </si>
  <si>
    <t>Чайник</t>
  </si>
  <si>
    <t>Кроссовки</t>
  </si>
  <si>
    <t>Боулинг</t>
  </si>
  <si>
    <t>Ремонт</t>
  </si>
  <si>
    <t>Сувенир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</si>
  <si>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</si>
  <si>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</si>
  <si>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</si>
  <si>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</si>
  <si>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</si>
  <si>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</si>
  <si>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</si>
  <si>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</si>
  <si>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Баланс</t>
  </si>
  <si>
    <t>Тип</t>
  </si>
  <si>
    <t>Общий доход</t>
  </si>
  <si>
    <t>Общий расход</t>
  </si>
  <si>
    <t>Чистая прибыль</t>
  </si>
  <si>
    <t>Эффективность</t>
  </si>
  <si>
    <t>Пиковый месяц</t>
  </si>
  <si>
    <t>Общий итог</t>
  </si>
  <si>
    <t>Питание</t>
  </si>
  <si>
    <t>Подарки</t>
  </si>
  <si>
    <t>Сумма</t>
  </si>
  <si>
    <t>Тип:</t>
  </si>
  <si>
    <t>Приоритет</t>
  </si>
  <si>
    <t>Выберите месяц</t>
  </si>
  <si>
    <t>Динамический доход</t>
  </si>
  <si>
    <t>Динамический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</si>
</sst>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;\(#,##0\)"/>
    <numFmt numFmtId="165" formatCode="dd\.mm\.yyyy"/>
    <numFmt numFmtId="166" formatCode="#,##0\ &quot;₽&quot;"/>
    <numFmt numFmtId="167" formatCode="_-* #,##0\ [$₽-419]_-;\-* #,##0\ [$₽-419]_-;_-* &quot;-&quot;??\ [$₽-419]_-;_-@_-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1"/>
      <color rgb="FF0F1115"/>
      <name val="Consolas"/>
      <family val="3"/>
      <charset val="204"/>
    </font>
    <font>
      <b/>
      <sz val="11"/>
      <color rgb="FF000000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b/>
      <sz val="16"/>
      <name val="Century"/>
      <family val="1"/>
      <charset val="204"/>
    </font>
    <font>
      <b/>
      <sz val="16"/>
      <color rgb="FF000000"/>
      <name val="Century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color rgb="FF000000"/>
      <name val="Century"/>
      <family val="1"/>
      <charset val="204"/>
    </font>
    <font>
      <sz val="8"/>
      <color rgb="FF0F1115"/>
      <name val="Consolas"/>
      <family val="3"/>
      <charset val="204"/>
    </font>
    <font>
      <sz val="14"/>
      <color rgb="FF000000"/>
      <name val="Bodoni MT"/>
      <family val="1"/>
    </font>
    <font>
      <b/>
      <sz val="14"/>
      <color rgb="FF0F1115"/>
      <name val="Bodoni MT"/>
      <family val="1"/>
    </font>
    <font>
      <b/>
      <sz val="14"/>
      <color rgb="FF000000"/>
      <name val="Bodoni MT"/>
      <family val="1"/>
    </font>
    <font>
      <b/>
      <sz val="12"/>
      <color theme="1"/>
      <name val="Arial Black"/>
      <family val="2"/>
      <charset val="204"/>
    </font>
    <font>
      <b/>
      <sz val="12"/>
      <color theme="3"/>
      <name val="Arial Black"/>
      <family val="2"/>
      <charset val="204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</cellStyleXfs>
  <cellXfs count="54">
    <xf numFmtId="0" fontId="0" fillId="0" borderId="0" xfId="0" applyFont="1" applyAlignment="1"/>
    <xf numFmtId="0" fontId="1" fillId="0" borderId="0" xfId="0" applyFont="1" applyAlignment="1"/>
    <xf numFmtId="49" fontId="2" fillId="0" borderId="0" xfId="0" applyNumberFormat="1" applyFont="1" applyAlignment="1"/>
    <xf numFmtId="164" fontId="2" fillId="0" borderId="0" xfId="0" applyNumberFormat="1" applyFont="1" applyAlignment="1"/>
    <xf numFmtId="165" fontId="1" fillId="0" borderId="0" xfId="0" applyNumberFormat="1" applyFont="1" applyAlignment="1"/>
    <xf numFmtId="49" fontId="1" fillId="0" borderId="0" xfId="0" applyNumberFormat="1" applyFont="1" applyAlignment="1"/>
    <xf numFmtId="3" fontId="1" fillId="0" borderId="0" xfId="0" applyNumberFormat="1" applyFont="1" applyAlignment="1"/>
    <xf numFmtId="165" fontId="1" fillId="0" borderId="0" xfId="0" applyNumberFormat="1" applyFont="1"/>
    <xf numFmtId="0" fontId="1" fillId="0" borderId="0" xfId="0" applyFont="1"/>
    <xf numFmtId="0" fontId="4" fillId="0" borderId="0" xfId="0" applyFont="1" applyAlignment="1"/>
    <xf numFmtId="166" fontId="0" fillId="0" borderId="0" xfId="0" applyNumberFormat="1" applyFont="1" applyAlignment="1"/>
    <xf numFmtId="166" fontId="4" fillId="0" borderId="0" xfId="0" applyNumberFormat="1" applyFont="1" applyAlignment="1"/>
    <xf numFmtId="0" fontId="5" fillId="2" borderId="0" xfId="0" applyFont="1" applyFill="1" applyAlignment="1"/>
    <xf numFmtId="0" fontId="5" fillId="2" borderId="0" xfId="0" applyFont="1" applyFill="1" applyAlignment="1">
      <alignment horizontal="right"/>
    </xf>
    <xf numFmtId="49" fontId="3" fillId="0" borderId="0" xfId="0" applyNumberFormat="1" applyFont="1" applyAlignment="1"/>
    <xf numFmtId="0" fontId="6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0" fillId="4" borderId="7" xfId="0" applyFont="1" applyFill="1" applyBorder="1" applyAlignment="1">
      <alignment horizontal="right"/>
    </xf>
    <xf numFmtId="0" fontId="11" fillId="3" borderId="2" xfId="0" applyFont="1" applyFill="1" applyBorder="1" applyAlignment="1"/>
    <xf numFmtId="0" fontId="12" fillId="5" borderId="4" xfId="0" applyFont="1" applyFill="1" applyBorder="1" applyAlignment="1"/>
    <xf numFmtId="0" fontId="11" fillId="3" borderId="4" xfId="0" applyFont="1" applyFill="1" applyBorder="1" applyAlignment="1"/>
    <xf numFmtId="0" fontId="11" fillId="4" borderId="4" xfId="0" applyFont="1" applyFill="1" applyBorder="1" applyAlignment="1"/>
    <xf numFmtId="0" fontId="11" fillId="4" borderId="6" xfId="0" applyFont="1" applyFill="1" applyBorder="1" applyAlignment="1"/>
    <xf numFmtId="0" fontId="13" fillId="0" borderId="0" xfId="0" pivotButton="1" applyFont="1" applyAlignment="1"/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3" fillId="0" borderId="0" xfId="0" applyNumberFormat="1" applyFont="1" applyAlignment="1"/>
    <xf numFmtId="0" fontId="14" fillId="0" borderId="0" xfId="0" applyFont="1" applyAlignment="1"/>
    <xf numFmtId="0" fontId="0" fillId="0" borderId="0" xfId="0" applyFont="1" applyBorder="1" applyAlignment="1"/>
    <xf numFmtId="0" fontId="17" fillId="2" borderId="8" xfId="0" applyFont="1" applyFill="1" applyBorder="1" applyAlignment="1"/>
    <xf numFmtId="0" fontId="17" fillId="6" borderId="3" xfId="0" applyFont="1" applyFill="1" applyBorder="1" applyAlignment="1"/>
    <xf numFmtId="0" fontId="15" fillId="8" borderId="0" xfId="0" applyFont="1" applyFill="1" applyBorder="1" applyAlignment="1"/>
    <xf numFmtId="0" fontId="15" fillId="6" borderId="5" xfId="0" applyFont="1" applyFill="1" applyBorder="1" applyAlignment="1"/>
    <xf numFmtId="0" fontId="15" fillId="6" borderId="7" xfId="0" applyFont="1" applyFill="1" applyBorder="1" applyAlignment="1"/>
    <xf numFmtId="0" fontId="15" fillId="7" borderId="9" xfId="0" applyFont="1" applyFill="1" applyBorder="1" applyAlignment="1"/>
    <xf numFmtId="0" fontId="16" fillId="7" borderId="11" xfId="0" applyFont="1" applyFill="1" applyBorder="1" applyAlignment="1"/>
    <xf numFmtId="0" fontId="15" fillId="2" borderId="11" xfId="0" applyFont="1" applyFill="1" applyBorder="1" applyAlignment="1"/>
    <xf numFmtId="0" fontId="15" fillId="2" borderId="10" xfId="0" applyFont="1" applyFill="1" applyBorder="1" applyAlignment="1"/>
    <xf numFmtId="0" fontId="15" fillId="2" borderId="9" xfId="0" applyFont="1" applyFill="1" applyBorder="1" applyAlignment="1"/>
    <xf numFmtId="44" fontId="9" fillId="3" borderId="3" xfId="2" applyFont="1" applyFill="1" applyBorder="1" applyAlignment="1"/>
    <xf numFmtId="44" fontId="10" fillId="5" borderId="5" xfId="2" applyFont="1" applyFill="1" applyBorder="1" applyAlignment="1"/>
    <xf numFmtId="44" fontId="10" fillId="3" borderId="5" xfId="2" applyFont="1" applyFill="1" applyBorder="1" applyAlignment="1"/>
    <xf numFmtId="43" fontId="10" fillId="4" borderId="5" xfId="1" applyFont="1" applyFill="1" applyBorder="1" applyAlignment="1"/>
    <xf numFmtId="0" fontId="0" fillId="0" borderId="0" xfId="0" applyFont="1" applyFill="1" applyAlignment="1"/>
    <xf numFmtId="0" fontId="7" fillId="2" borderId="1" xfId="0" applyFont="1" applyFill="1" applyBorder="1" applyAlignment="1">
      <alignment wrapText="1" shrinkToFit="1"/>
    </xf>
    <xf numFmtId="0" fontId="7" fillId="2" borderId="1" xfId="0" applyFont="1" applyFill="1" applyBorder="1" applyAlignment="1">
      <alignment horizontal="right" wrapText="1" shrinkToFit="1"/>
    </xf>
    <xf numFmtId="0" fontId="8" fillId="0" borderId="1" xfId="0" applyFont="1" applyBorder="1" applyAlignment="1">
      <alignment wrapText="1" shrinkToFit="1"/>
    </xf>
    <xf numFmtId="166" fontId="8" fillId="0" borderId="1" xfId="0" applyNumberFormat="1" applyFont="1" applyBorder="1" applyAlignment="1">
      <alignment wrapText="1" shrinkToFit="1"/>
    </xf>
    <xf numFmtId="0" fontId="0" fillId="8" borderId="0" xfId="0" applyFont="1" applyFill="1" applyAlignment="1"/>
    <xf numFmtId="0" fontId="14" fillId="8" borderId="0" xfId="0" applyFont="1" applyFill="1" applyAlignment="1">
      <alignment horizontal="left" vertical="center" indent="1"/>
    </xf>
    <xf numFmtId="167" fontId="18" fillId="8" borderId="0" xfId="0" applyNumberFormat="1" applyFont="1" applyFill="1" applyAlignment="1"/>
    <xf numFmtId="167" fontId="19" fillId="8" borderId="0" xfId="0" applyNumberFormat="1" applyFont="1" applyFill="1" applyAlignment="1"/>
    <xf numFmtId="0" fontId="14" fillId="8" borderId="0" xfId="0" applyFont="1" applyFill="1" applyAlignment="1">
      <alignment horizontal="center" vertical="center"/>
    </xf>
  </cellXfs>
  <cellStyles count="3">
    <cellStyle name="Денежный" xfId="2" builtinId="4"/>
    <cellStyle name="Обычный" xfId="0" builtinId="0"/>
    <cellStyle name="Финансовый" xfId="1" builtinId="3"/>
  </cellStyles>
  <dxfs count="2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entury"/>
        <scheme val="none"/>
      </font>
    </dxf>
    <dxf>
      <font>
        <name val="Century"/>
        <scheme val="none"/>
      </font>
    </dxf>
    <dxf>
      <font>
        <name val="Century"/>
        <scheme val="none"/>
      </font>
    </dxf>
    <dxf>
      <font>
        <name val="Century"/>
        <scheme val="none"/>
      </font>
    </dxf>
    <dxf>
      <font>
        <name val="Century"/>
        <scheme val="none"/>
      </font>
    </dxf>
    <dxf>
      <font>
        <name val="Century"/>
        <scheme val="none"/>
      </font>
    </dxf>
    <dxf>
      <font>
        <name val="Century"/>
        <scheme val="none"/>
      </font>
    </dxf>
    <dxf>
      <fill>
        <gradientFill degree="135">
          <stop position="0">
            <color theme="7" tint="0.59999389629810485"/>
          </stop>
          <stop position="1">
            <color theme="7" tint="-0.25098422193060094"/>
          </stop>
        </gradientFill>
      </fill>
    </dxf>
    <dxf>
      <fill>
        <gradientFill degree="135">
          <stop position="0">
            <color theme="4" tint="0.40000610370189521"/>
          </stop>
          <stop position="0.5">
            <color theme="4"/>
          </stop>
          <stop position="1">
            <color theme="4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gradientFill degree="135">
          <stop position="0">
            <color theme="5" tint="0.40000610370189521"/>
          </stop>
          <stop position="0.5">
            <color theme="5"/>
          </stop>
          <stop position="1">
            <color theme="5" tint="0.40000610370189521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 patternType="solid">
          <fgColor rgb="FF3D85C6"/>
          <bgColor rgb="FF3D85C6"/>
        </patternFill>
      </fill>
    </dxf>
  </dxfs>
  <tableStyles count="0" defaultTableStyle="TableStyleMedium2" defaultPivotStyle="PivotStyleLight16"/>
  <colors>
    <mruColors>
      <color rgb="FFE59A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(Автосохраненный).xlsx]Dashboard!Сводная 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Структура расходов</a:t>
            </a:r>
          </a:p>
        </c:rich>
      </c:tx>
      <c:layout>
        <c:manualLayout>
          <c:xMode val="edge"/>
          <c:yMode val="edge"/>
          <c:x val="0.30620953329939676"/>
          <c:y val="6.1627916376982651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</c:sp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8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Dashboard!$E$40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4D9-4F8C-97CA-441BF9FD02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4D9-4F8C-97CA-441BF9FD02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4D9-4F8C-97CA-441BF9FD02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4D9-4F8C-97CA-441BF9FD02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4D9-4F8C-97CA-441BF9FD02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64D9-4F8C-97CA-441BF9FD02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4D9-4F8C-97CA-441BF9FD02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Dashboard!$D$41:$D$48</c:f>
              <c:strCache>
                <c:ptCount val="7"/>
                <c:pt idx="0">
                  <c:v>Здоровье</c:v>
                </c:pt>
                <c:pt idx="1">
                  <c:v>Одежда</c:v>
                </c:pt>
                <c:pt idx="2">
                  <c:v>Питание</c:v>
                </c:pt>
                <c:pt idx="3">
                  <c:v>Подарки</c:v>
                </c:pt>
                <c:pt idx="4">
                  <c:v>Прочее</c:v>
                </c:pt>
                <c:pt idx="5">
                  <c:v>Развлечения</c:v>
                </c:pt>
                <c:pt idx="6">
                  <c:v>Транспорт</c:v>
                </c:pt>
              </c:strCache>
            </c:strRef>
          </c:cat>
          <c:val>
            <c:numRef>
              <c:f>Dashboard!$E$41:$E$48</c:f>
              <c:numCache>
                <c:formatCode>General</c:formatCode>
                <c:ptCount val="7"/>
                <c:pt idx="0">
                  <c:v>3700</c:v>
                </c:pt>
                <c:pt idx="1">
                  <c:v>7000</c:v>
                </c:pt>
                <c:pt idx="2">
                  <c:v>11900</c:v>
                </c:pt>
                <c:pt idx="3">
                  <c:v>9800</c:v>
                </c:pt>
                <c:pt idx="4">
                  <c:v>650</c:v>
                </c:pt>
                <c:pt idx="5">
                  <c:v>11350</c:v>
                </c:pt>
                <c:pt idx="6">
                  <c:v>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9-4F8C-97CA-441BF9FD028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 доходов и расходов по месяцам</a:t>
            </a:r>
          </a:p>
        </c:rich>
      </c:tx>
      <c:layout>
        <c:manualLayout>
          <c:xMode val="edge"/>
          <c:yMode val="edge"/>
          <c:x val="0.27045531778434029"/>
          <c:y val="6.9530085895230229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924695712272544"/>
          <c:y val="0.27731081051437656"/>
          <c:w val="0.7434926338905623"/>
          <c:h val="0.6803064350134887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Cleaned_data!$K$2</c:f>
              <c:strCache>
                <c:ptCount val="1"/>
                <c:pt idx="0">
                  <c:v>Доход</c:v>
                </c:pt>
              </c:strCache>
            </c:strRef>
          </c:tx>
          <c:spPr>
            <a:gradFill>
              <a:gsLst>
                <a:gs pos="8000">
                  <a:schemeClr val="accent1">
                    <a:lumMod val="50000"/>
                  </a:schemeClr>
                </a:gs>
                <a:gs pos="62000">
                  <a:schemeClr val="accent1">
                    <a:lumMod val="75000"/>
                  </a:schemeClr>
                </a:gs>
                <a:gs pos="8900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gradFill>
                <a:gsLst>
                  <a:gs pos="8000">
                    <a:schemeClr val="accent1">
                      <a:lumMod val="50000"/>
                    </a:schemeClr>
                  </a:gs>
                  <a:gs pos="62000">
                    <a:schemeClr val="accent1">
                      <a:lumMod val="75000"/>
                    </a:schemeClr>
                  </a:gs>
                  <a:gs pos="89000">
                    <a:schemeClr val="accent1">
                      <a:lumMod val="60000"/>
                      <a:lumOff val="4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7ED-45EF-B251-E4684FD9B403}"/>
              </c:ext>
            </c:extLst>
          </c:dPt>
          <c:cat>
            <c:strRef>
              <c:f>Cleaned_data!$J$3:$J$10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Cleaned_data!$K$3:$K$10</c:f>
              <c:numCache>
                <c:formatCode>#\ ##0\ "₽"</c:formatCode>
                <c:ptCount val="8"/>
                <c:pt idx="0">
                  <c:v>0</c:v>
                </c:pt>
                <c:pt idx="1">
                  <c:v>105000</c:v>
                </c:pt>
                <c:pt idx="2">
                  <c:v>0</c:v>
                </c:pt>
                <c:pt idx="3">
                  <c:v>1000000</c:v>
                </c:pt>
                <c:pt idx="4">
                  <c:v>52000</c:v>
                </c:pt>
                <c:pt idx="5">
                  <c:v>53000</c:v>
                </c:pt>
                <c:pt idx="6">
                  <c:v>54000</c:v>
                </c:pt>
                <c:pt idx="7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D-45EF-B251-E4684FD9B403}"/>
            </c:ext>
          </c:extLst>
        </c:ser>
        <c:ser>
          <c:idx val="1"/>
          <c:order val="1"/>
          <c:tx>
            <c:strRef>
              <c:f>Cleaned_data!$L$2</c:f>
              <c:strCache>
                <c:ptCount val="1"/>
                <c:pt idx="0">
                  <c:v>Расход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Cleaned_data!$J$3:$J$10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Cleaned_data!$L$3:$L$10</c:f>
              <c:numCache>
                <c:formatCode>#\ ##0\ "₽"</c:formatCode>
                <c:ptCount val="8"/>
                <c:pt idx="0">
                  <c:v>2550</c:v>
                </c:pt>
                <c:pt idx="1">
                  <c:v>4500</c:v>
                </c:pt>
                <c:pt idx="2">
                  <c:v>3100</c:v>
                </c:pt>
                <c:pt idx="3">
                  <c:v>3150</c:v>
                </c:pt>
                <c:pt idx="4">
                  <c:v>4450</c:v>
                </c:pt>
                <c:pt idx="5">
                  <c:v>7300</c:v>
                </c:pt>
                <c:pt idx="6">
                  <c:v>13650</c:v>
                </c:pt>
                <c:pt idx="7">
                  <c:v>10450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D-45EF-B251-E4684FD9B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936808"/>
        <c:axId val="474938448"/>
        <c:axId val="0"/>
      </c:bar3DChart>
      <c:catAx>
        <c:axId val="474936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938448"/>
        <c:crosses val="max"/>
        <c:auto val="1"/>
        <c:lblAlgn val="ctr"/>
        <c:lblOffset val="100"/>
        <c:noMultiLvlLbl val="0"/>
      </c:catAx>
      <c:valAx>
        <c:axId val="474938448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93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ru-RU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</a:t>
            </a:r>
            <a:r>
              <a:rPr lang="ru-RU" sz="16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б</a:t>
            </a:r>
            <a:r>
              <a:rPr lang="ru-RU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аланса по месяцам</a:t>
            </a:r>
          </a:p>
        </c:rich>
      </c:tx>
      <c:layout>
        <c:manualLayout>
          <c:xMode val="edge"/>
          <c:yMode val="edge"/>
          <c:x val="0.34044941745840135"/>
          <c:y val="1.6903420465301546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Баланс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2E1-4E46-8AD7-66F783B58A32}"/>
                </c:ext>
              </c:extLst>
            </c:dLbl>
            <c:dLbl>
              <c:idx val="1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E1-4E46-8AD7-66F783B58A32}"/>
                </c:ext>
              </c:extLst>
            </c:dLbl>
            <c:dLbl>
              <c:idx val="2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2E1-4E46-8AD7-66F783B58A32}"/>
                </c:ext>
              </c:extLst>
            </c:dLbl>
            <c:dLbl>
              <c:idx val="3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2E1-4E46-8AD7-66F783B58A32}"/>
                </c:ext>
              </c:extLst>
            </c:dLbl>
            <c:dLbl>
              <c:idx val="4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2E1-4E46-8AD7-66F783B58A32}"/>
                </c:ext>
              </c:extLst>
            </c:dLbl>
            <c:dLbl>
              <c:idx val="5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>
                      <a:lumMod val="20000"/>
                      <a:lumOff val="8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2E1-4E46-8AD7-66F783B58A32}"/>
                </c:ext>
              </c:extLst>
            </c:dLbl>
            <c:dLbl>
              <c:idx val="6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2E1-4E46-8AD7-66F783B58A32}"/>
                </c:ext>
              </c:extLst>
            </c:dLbl>
            <c:dLbl>
              <c:idx val="7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2E1-4E46-8AD7-66F783B58A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Dashboard!$D$2:$D$9</c:f>
              <c:strCache>
                <c:ptCount val="8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</c:strCache>
            </c:strRef>
          </c:cat>
          <c:val>
            <c:numRef>
              <c:f>Dashboard!$G$2:$G$9</c:f>
              <c:numCache>
                <c:formatCode>#\ ##0\ "₽"</c:formatCode>
                <c:ptCount val="8"/>
                <c:pt idx="0">
                  <c:v>-2550</c:v>
                </c:pt>
                <c:pt idx="1">
                  <c:v>100500</c:v>
                </c:pt>
                <c:pt idx="2">
                  <c:v>-3100</c:v>
                </c:pt>
                <c:pt idx="3">
                  <c:v>996850</c:v>
                </c:pt>
                <c:pt idx="4">
                  <c:v>47550</c:v>
                </c:pt>
                <c:pt idx="5">
                  <c:v>45700</c:v>
                </c:pt>
                <c:pt idx="6">
                  <c:v>40350</c:v>
                </c:pt>
                <c:pt idx="7">
                  <c:v>45550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1-4E46-8AD7-66F783B58A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0810392"/>
        <c:axId val="600811376"/>
      </c:lineChart>
      <c:catAx>
        <c:axId val="60081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811376"/>
        <c:crossesAt val="1"/>
        <c:auto val="1"/>
        <c:lblAlgn val="ctr"/>
        <c:lblOffset val="100"/>
        <c:noMultiLvlLbl val="0"/>
      </c:catAx>
      <c:valAx>
        <c:axId val="600811376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810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Динамика</a:t>
            </a:r>
            <a:r>
              <a:rPr lang="ru-RU" sz="16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баланса </a:t>
            </a:r>
            <a:endParaRPr lang="ru-RU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76200" dir="13500000" sy="23000" kx="1200000" algn="br" rotWithShape="0">
            <a:prstClr val="black">
              <a:alpha val="2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76200" dir="13500000" sy="23000" kx="1200000" algn="br" rotWithShape="0">
            <a:prstClr val="black">
              <a:alpha val="20000"/>
            </a:prstClr>
          </a:outerShdw>
        </a:effectLst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17000">
                    <a:schemeClr val="accent2">
                      <a:lumMod val="75000"/>
                    </a:schemeClr>
                  </a:gs>
                  <a:gs pos="45000">
                    <a:schemeClr val="accent2">
                      <a:lumMod val="75000"/>
                    </a:schemeClr>
                  </a:gs>
                  <a:gs pos="91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solidFill>
                  <a:schemeClr val="accent2">
                    <a:lumMod val="75000"/>
                  </a:schemeClr>
                </a:solidFill>
              </a:ln>
              <a:effectLst/>
              <a:sp3d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2E49-4D7E-8B73-E9676B0DE590}"/>
              </c:ext>
            </c:extLst>
          </c:dPt>
          <c:val>
            <c:numRef>
              <c:f>Dashboard!$K$2:$L$2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9-4D7E-8B73-E9676B0DE5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50000"/>
                    </a:schemeClr>
                  </a:gs>
                  <a:gs pos="46000">
                    <a:schemeClr val="accent1">
                      <a:lumMod val="75000"/>
                    </a:schemeClr>
                  </a:gs>
                  <a:gs pos="76000">
                    <a:schemeClr val="accent1">
                      <a:lumMod val="75000"/>
                    </a:schemeClr>
                  </a:gs>
                  <a:gs pos="95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0C85-4684-97A6-977C5C02D9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2">
                      <a:lumMod val="50000"/>
                    </a:schemeClr>
                  </a:gs>
                  <a:gs pos="38000">
                    <a:schemeClr val="accent2">
                      <a:lumMod val="75000"/>
                    </a:schemeClr>
                  </a:gs>
                  <a:gs pos="64000">
                    <a:schemeClr val="accent2">
                      <a:lumMod val="75000"/>
                    </a:schemeClr>
                  </a:gs>
                  <a:gs pos="95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38100" dist="279400" dir="6000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flat">
                <a:bevelB w="0"/>
              </a:sp3d>
            </c:spPr>
            <c:extLst>
              <c:ext xmlns:c16="http://schemas.microsoft.com/office/drawing/2014/chart" uri="{C3380CC4-5D6E-409C-BE32-E72D297353CC}">
                <c16:uniqueId val="{00000006-0C85-4684-97A6-977C5C02D98A}"/>
              </c:ext>
            </c:extLst>
          </c:dPt>
          <c:val>
            <c:numRef>
              <c:f>Dashboard!$K$3:$L$3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9-4D7E-8B73-E9676B0DE59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chemeClr val="accent2">
                      <a:lumMod val="50000"/>
                    </a:schemeClr>
                  </a:gs>
                  <a:gs pos="38000">
                    <a:schemeClr val="accent2">
                      <a:lumMod val="75000"/>
                    </a:schemeClr>
                  </a:gs>
                  <a:gs pos="64000">
                    <a:schemeClr val="accent2">
                      <a:lumMod val="75000"/>
                    </a:schemeClr>
                  </a:gs>
                  <a:gs pos="95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C85-4684-97A6-977C5C02D98A}"/>
              </c:ext>
            </c:extLst>
          </c:dPt>
          <c:val>
            <c:numRef>
              <c:f>Dashboard!$K$4:$L$4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9-4D7E-8B73-E9676B0DE590}"/>
            </c:ext>
          </c:extLst>
        </c:ser>
        <c:ser>
          <c:idx val="3"/>
          <c:order val="3"/>
          <c:spPr>
            <a:gradFill>
              <a:gsLst>
                <a:gs pos="0">
                  <a:schemeClr val="accent2">
                    <a:lumMod val="50000"/>
                  </a:schemeClr>
                </a:gs>
                <a:gs pos="38000">
                  <a:schemeClr val="accent2">
                    <a:lumMod val="75000"/>
                  </a:schemeClr>
                </a:gs>
                <a:gs pos="95000">
                  <a:schemeClr val="accent2">
                    <a:lumMod val="60000"/>
                    <a:lumOff val="4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81000">
                    <a:srgbClr val="4C79C5"/>
                  </a:gs>
                  <a:gs pos="13000">
                    <a:schemeClr val="accent1">
                      <a:lumMod val="50000"/>
                    </a:schemeClr>
                  </a:gs>
                  <a:gs pos="95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0C85-4684-97A6-977C5C02D98A}"/>
              </c:ext>
            </c:extLst>
          </c:dPt>
          <c:val>
            <c:numRef>
              <c:f>Dashboard!$K$5:$L$5</c:f>
              <c:numCache>
                <c:formatCode>General</c:formatCode>
                <c:ptCount val="2"/>
                <c:pt idx="0">
                  <c:v>1000000</c:v>
                </c:pt>
                <c:pt idx="1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9-4D7E-8B73-E9676B0DE590}"/>
            </c:ext>
          </c:extLst>
        </c:ser>
        <c:ser>
          <c:idx val="4"/>
          <c:order val="4"/>
          <c:spPr>
            <a:solidFill>
              <a:schemeClr val="accent5"/>
            </a:solidFill>
            <a:ln w="6350">
              <a:solidFill>
                <a:schemeClr val="bg1"/>
              </a:solidFill>
            </a:ln>
            <a:effectLst/>
            <a:sp3d contourW="6350">
              <a:contourClr>
                <a:schemeClr val="bg1"/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22000">
                    <a:schemeClr val="accent1">
                      <a:lumMod val="50000"/>
                    </a:schemeClr>
                  </a:gs>
                  <a:gs pos="68000">
                    <a:schemeClr val="accent1">
                      <a:lumMod val="75000"/>
                    </a:schemeClr>
                  </a:gs>
                  <a:gs pos="95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 w="6350">
                <a:solidFill>
                  <a:schemeClr val="bg1"/>
                </a:solidFill>
              </a:ln>
              <a:effectLst/>
              <a:sp3d contourW="635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C85-4684-97A6-977C5C02D9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39000">
                    <a:schemeClr val="accent2">
                      <a:lumMod val="75000"/>
                    </a:schemeClr>
                  </a:gs>
                  <a:gs pos="0">
                    <a:schemeClr val="accent2">
                      <a:lumMod val="50000"/>
                    </a:schemeClr>
                  </a:gs>
                  <a:gs pos="50000">
                    <a:schemeClr val="accent2">
                      <a:lumMod val="75000"/>
                    </a:schemeClr>
                  </a:gs>
                  <a:gs pos="64000">
                    <a:schemeClr val="accent2">
                      <a:lumMod val="75000"/>
                    </a:schemeClr>
                  </a:gs>
                  <a:gs pos="95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 w="6350">
                <a:solidFill>
                  <a:schemeClr val="bg1"/>
                </a:solidFill>
              </a:ln>
              <a:effectLst/>
              <a:sp3d contourW="635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85-4684-97A6-977C5C02D98A}"/>
              </c:ext>
            </c:extLst>
          </c:dPt>
          <c:val>
            <c:numRef>
              <c:f>Dashboard!$K$6:$L$6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9-4D7E-8B73-E9676B0DE59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4000">
                    <a:schemeClr val="accent1">
                      <a:lumMod val="50000"/>
                    </a:schemeClr>
                  </a:gs>
                  <a:gs pos="78000">
                    <a:schemeClr val="accent1">
                      <a:lumMod val="75000"/>
                    </a:schemeClr>
                  </a:gs>
                  <a:gs pos="95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0C85-4684-97A6-977C5C02D9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22000">
                    <a:schemeClr val="accent2">
                      <a:lumMod val="50000"/>
                    </a:schemeClr>
                  </a:gs>
                  <a:gs pos="68000">
                    <a:schemeClr val="accent2">
                      <a:lumMod val="75000"/>
                    </a:schemeClr>
                  </a:gs>
                  <a:gs pos="95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0C85-4684-97A6-977C5C02D98A}"/>
              </c:ext>
            </c:extLst>
          </c:dPt>
          <c:val>
            <c:numRef>
              <c:f>Dashboard!$K$7:$L$7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9-4D7E-8B73-E9676B0DE59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4000">
                    <a:schemeClr val="accent1">
                      <a:lumMod val="50000"/>
                    </a:schemeClr>
                  </a:gs>
                  <a:gs pos="79000">
                    <a:schemeClr val="accent1">
                      <a:lumMod val="75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0C85-4684-97A6-977C5C02D9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4000">
                    <a:schemeClr val="accent2">
                      <a:lumMod val="50000"/>
                    </a:schemeClr>
                  </a:gs>
                  <a:gs pos="72000">
                    <a:schemeClr val="accent2">
                      <a:lumMod val="75000"/>
                    </a:schemeClr>
                  </a:gs>
                  <a:gs pos="95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0C85-4684-97A6-977C5C02D98A}"/>
              </c:ext>
            </c:extLst>
          </c:dPt>
          <c:val>
            <c:numRef>
              <c:f>Dashboard!$K$8:$L$8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9-4D7E-8B73-E9676B0DE590}"/>
            </c:ext>
          </c:extLst>
        </c:ser>
        <c:ser>
          <c:idx val="7"/>
          <c:order val="7"/>
          <c:spPr>
            <a:gradFill>
              <a:gsLst>
                <a:gs pos="0">
                  <a:schemeClr val="accent2">
                    <a:lumMod val="50000"/>
                  </a:schemeClr>
                </a:gs>
                <a:gs pos="38000">
                  <a:schemeClr val="accent2">
                    <a:lumMod val="75000"/>
                  </a:schemeClr>
                </a:gs>
                <a:gs pos="64000">
                  <a:schemeClr val="accent2">
                    <a:lumMod val="75000"/>
                  </a:schemeClr>
                </a:gs>
                <a:gs pos="95000">
                  <a:schemeClr val="accent2">
                    <a:lumMod val="60000"/>
                    <a:lumOff val="40000"/>
                  </a:schemeClr>
                </a:gs>
              </a:gsLst>
              <a:lin ang="5400000" scaled="1"/>
            </a:gradFill>
            <a:ln>
              <a:solidFill>
                <a:schemeClr val="accent2">
                  <a:lumMod val="75000"/>
                </a:schemeClr>
              </a:solidFill>
            </a:ln>
            <a:effectLst/>
            <a:sp3d>
              <a:contourClr>
                <a:schemeClr val="accent2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50000"/>
                    </a:schemeClr>
                  </a:gs>
                  <a:gs pos="38000">
                    <a:schemeClr val="accent1">
                      <a:lumMod val="75000"/>
                    </a:schemeClr>
                  </a:gs>
                  <a:gs pos="64000">
                    <a:schemeClr val="accent1">
                      <a:lumMod val="75000"/>
                    </a:schemeClr>
                  </a:gs>
                  <a:gs pos="95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solidFill>
                  <a:schemeClr val="accent1">
                    <a:lumMod val="50000"/>
                  </a:schemeClr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49-4D7E-8B73-E9676B0DE590}"/>
              </c:ext>
            </c:extLst>
          </c:dPt>
          <c:val>
            <c:numRef>
              <c:f>Dashboard!$K$9:$L$9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49-4D7E-8B73-E9676B0DE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shape val="box"/>
        <c:axId val="487274800"/>
        <c:axId val="487275784"/>
        <c:axId val="0"/>
      </c:bar3DChart>
      <c:catAx>
        <c:axId val="48727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75784"/>
        <c:crosses val="autoZero"/>
        <c:auto val="1"/>
        <c:lblAlgn val="ctr"/>
        <c:lblOffset val="100"/>
        <c:noMultiLvlLbl val="0"/>
      </c:catAx>
      <c:valAx>
        <c:axId val="48727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7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36</xdr:row>
      <xdr:rowOff>139700</xdr:rowOff>
    </xdr:from>
    <xdr:to>
      <xdr:col>10</xdr:col>
      <xdr:colOff>495300</xdr:colOff>
      <xdr:row>50</xdr:row>
      <xdr:rowOff>15240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309272</xdr:colOff>
      <xdr:row>11</xdr:row>
      <xdr:rowOff>38100</xdr:rowOff>
    </xdr:from>
    <xdr:to>
      <xdr:col>42</xdr:col>
      <xdr:colOff>209550</xdr:colOff>
      <xdr:row>37</xdr:row>
      <xdr:rowOff>38100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20954</xdr:colOff>
      <xdr:row>39</xdr:row>
      <xdr:rowOff>62864</xdr:rowOff>
    </xdr:from>
    <xdr:to>
      <xdr:col>41</xdr:col>
      <xdr:colOff>400049</xdr:colOff>
      <xdr:row>66</xdr:row>
      <xdr:rowOff>38100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175344</xdr:colOff>
      <xdr:row>10</xdr:row>
      <xdr:rowOff>108298</xdr:rowOff>
    </xdr:from>
    <xdr:to>
      <xdr:col>11</xdr:col>
      <xdr:colOff>2038350</xdr:colOff>
      <xdr:row>26</xdr:row>
      <xdr:rowOff>57150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17</xdr:col>
      <xdr:colOff>304800</xdr:colOff>
      <xdr:row>7</xdr:row>
      <xdr:rowOff>47625</xdr:rowOff>
    </xdr:from>
    <xdr:ext cx="12065001" cy="733425"/>
    <xdr:sp macro="" textlink="">
      <xdr:nvSpPr>
        <xdr:cNvPr id="4" name="TextBox 3"/>
        <xdr:cNvSpPr txBox="1"/>
      </xdr:nvSpPr>
      <xdr:spPr>
        <a:xfrm>
          <a:off x="19831050" y="1876425"/>
          <a:ext cx="12065001" cy="733425"/>
        </a:xfrm>
        <a:prstGeom prst="rect">
          <a:avLst/>
        </a:prstGeom>
        <a:gradFill flip="none" rotWithShape="1">
          <a:gsLst>
            <a:gs pos="0">
              <a:schemeClr val="accent1">
                <a:lumMod val="50000"/>
                <a:shade val="30000"/>
                <a:satMod val="115000"/>
              </a:schemeClr>
            </a:gs>
            <a:gs pos="50000">
              <a:schemeClr val="accent1">
                <a:lumMod val="50000"/>
                <a:shade val="67500"/>
                <a:satMod val="115000"/>
              </a:schemeClr>
            </a:gs>
            <a:gs pos="100000">
              <a:schemeClr val="accent1">
                <a:lumMod val="50000"/>
                <a:shade val="100000"/>
                <a:satMod val="115000"/>
              </a:schemeClr>
            </a:gs>
          </a:gsLst>
          <a:lin ang="1080000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ru-RU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🔥 Пиковый месяц: АПРЕЛЬ </a:t>
          </a:r>
          <a:r>
            <a:rPr lang="en-US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 </a:t>
          </a:r>
          <a:r>
            <a:rPr lang="ru-RU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|</a:t>
          </a:r>
          <a:r>
            <a:rPr lang="en-US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</a:t>
          </a:r>
          <a:r>
            <a:rPr lang="ru-RU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📈 Эффективность: 26.85 </a:t>
          </a:r>
          <a:r>
            <a:rPr lang="en-US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 </a:t>
          </a:r>
          <a:r>
            <a:rPr lang="ru-RU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|</a:t>
          </a:r>
          <a:r>
            <a:rPr lang="en-US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</a:t>
          </a:r>
          <a:r>
            <a:rPr lang="ru-RU" sz="2400" b="0" i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💰 Прибыль: 1 270 850 ₽</a:t>
          </a:r>
        </a:p>
        <a:p>
          <a:pPr algn="ctr"/>
          <a:r>
            <a:rPr lang="ru-RU" b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/>
          </a:r>
          <a:br>
            <a:rPr lang="ru-RU" b="0" cap="none" spc="0">
              <a:ln w="0"/>
              <a:solidFill>
                <a:schemeClr val="accent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</a:br>
          <a:endParaRPr lang="ru-RU" sz="1100" b="0" cap="none" spc="0">
            <a:ln w="0"/>
            <a:solidFill>
              <a:schemeClr val="accent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  <xdr:oneCellAnchor>
    <xdr:from>
      <xdr:col>12</xdr:col>
      <xdr:colOff>45720</xdr:colOff>
      <xdr:row>0</xdr:row>
      <xdr:rowOff>228600</xdr:rowOff>
    </xdr:from>
    <xdr:ext cx="1470660" cy="266700"/>
    <xdr:sp macro="" textlink="">
      <xdr:nvSpPr>
        <xdr:cNvPr id="8" name="TextBox 7"/>
        <xdr:cNvSpPr txBox="1"/>
      </xdr:nvSpPr>
      <xdr:spPr>
        <a:xfrm>
          <a:off x="15643860" y="228600"/>
          <a:ext cx="147066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  <a:scene3d>
            <a:camera prst="orthographicFront"/>
            <a:lightRig rig="harsh" dir="t"/>
          </a:scene3d>
          <a:sp3d extrusionH="57150" prstMaterial="matte">
            <a:bevelT w="63500" h="12700"/>
            <a:contourClr>
              <a:schemeClr val="bg1">
                <a:lumMod val="65000"/>
              </a:schemeClr>
            </a:contourClr>
          </a:sp3d>
        </a:bodyPr>
        <a:lstStyle/>
        <a:p>
          <a:endParaRPr lang="ru-RU" sz="1300" b="1" cap="none" spc="0">
            <a:ln>
              <a:solidFill>
                <a:schemeClr val="accent4">
                  <a:lumMod val="50000"/>
                </a:schemeClr>
              </a:solidFill>
            </a:ln>
            <a:solidFill>
              <a:schemeClr val="accent4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0</xdr:col>
      <xdr:colOff>266699</xdr:colOff>
      <xdr:row>8</xdr:row>
      <xdr:rowOff>129540</xdr:rowOff>
    </xdr:from>
    <xdr:ext cx="3920067" cy="365760"/>
    <xdr:sp macro="" textlink="">
      <xdr:nvSpPr>
        <xdr:cNvPr id="14" name="TextBox 13"/>
        <xdr:cNvSpPr txBox="1"/>
      </xdr:nvSpPr>
      <xdr:spPr>
        <a:xfrm>
          <a:off x="266699" y="2208107"/>
          <a:ext cx="3920067" cy="36576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  <a:tint val="66000"/>
                <a:satMod val="160000"/>
              </a:schemeClr>
            </a:gs>
            <a:gs pos="50000">
              <a:schemeClr val="accent4">
                <a:lumMod val="40000"/>
                <a:lumOff val="60000"/>
                <a:tint val="44500"/>
                <a:satMod val="160000"/>
              </a:schemeClr>
            </a:gs>
            <a:gs pos="100000">
              <a:schemeClr val="accent4">
                <a:lumMod val="40000"/>
                <a:lumOff val="60000"/>
                <a:tint val="23500"/>
                <a:satMod val="160000"/>
              </a:schemeClr>
            </a:gs>
          </a:gsLst>
          <a:path path="circle">
            <a:fillToRect l="100000" t="100000"/>
          </a:path>
          <a:tileRect r="-100000" b="-100000"/>
        </a:gradFill>
        <a:ln>
          <a:solidFill>
            <a:schemeClr val="accent4">
              <a:lumMod val="40000"/>
              <a:lumOff val="6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  <a:scene3d>
            <a:camera prst="orthographicFront"/>
            <a:lightRig rig="harsh" dir="t"/>
          </a:scene3d>
          <a:sp3d extrusionH="57150" prstMaterial="matte">
            <a:bevelT w="63500" h="12700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ru-RU" sz="1400" b="1" i="0" u="none" strike="noStrike" cap="none" spc="0">
              <a:ln/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Общий доход</a:t>
          </a:r>
          <a:r>
            <a:rPr lang="ru-RU" sz="1400" b="1" cap="none" spc="0">
              <a:ln/>
              <a:solidFill>
                <a:schemeClr val="tx1"/>
              </a:solidFill>
              <a:effectLst/>
            </a:rPr>
            <a:t>                  </a:t>
          </a:r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1 320 000,00 ₽ </a:t>
          </a:r>
          <a:r>
            <a:rPr lang="ru-RU" sz="1400" b="1" cap="none" spc="0">
              <a:ln/>
              <a:solidFill>
                <a:schemeClr val="tx1"/>
              </a:solidFill>
              <a:effectLst/>
            </a:rPr>
            <a:t>  </a:t>
          </a:r>
          <a:endParaRPr lang="ru-RU" sz="1400" b="1" i="0" u="none" strike="noStrike" cap="none" spc="0">
            <a:ln/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259080</xdr:colOff>
      <xdr:row>10</xdr:row>
      <xdr:rowOff>121920</xdr:rowOff>
    </xdr:from>
    <xdr:ext cx="3931920" cy="396240"/>
    <xdr:sp macro="" textlink="">
      <xdr:nvSpPr>
        <xdr:cNvPr id="15" name="TextBox 14"/>
        <xdr:cNvSpPr txBox="1"/>
      </xdr:nvSpPr>
      <xdr:spPr>
        <a:xfrm>
          <a:off x="259080" y="2598420"/>
          <a:ext cx="3931920" cy="396240"/>
        </a:xfrm>
        <a:prstGeom prst="rect">
          <a:avLst/>
        </a:prstGeom>
        <a:gradFill flip="none" rotWithShape="1">
          <a:gsLst>
            <a:gs pos="0">
              <a:schemeClr val="accent2">
                <a:lumMod val="75000"/>
                <a:tint val="66000"/>
                <a:satMod val="160000"/>
              </a:schemeClr>
            </a:gs>
            <a:gs pos="50000">
              <a:schemeClr val="accent2">
                <a:lumMod val="75000"/>
                <a:tint val="44500"/>
                <a:satMod val="160000"/>
              </a:schemeClr>
            </a:gs>
            <a:gs pos="100000">
              <a:schemeClr val="accent2">
                <a:lumMod val="75000"/>
                <a:tint val="23500"/>
                <a:satMod val="16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Общий расход</a:t>
          </a:r>
          <a:r>
            <a:rPr lang="ru-RU" sz="1400" b="1"/>
            <a:t>                </a:t>
          </a:r>
          <a:r>
            <a:rPr lang="ru-RU" sz="1400" b="1" baseline="0"/>
            <a:t> </a:t>
          </a:r>
          <a:r>
            <a:rPr lang="ru-RU" sz="1400" b="1"/>
            <a:t>      </a:t>
          </a:r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49 150,00 ₽ </a:t>
          </a:r>
          <a:endParaRPr lang="ru-RU" sz="1400"/>
        </a:p>
      </xdr:txBody>
    </xdr:sp>
    <xdr:clientData/>
  </xdr:oneCellAnchor>
  <xdr:oneCellAnchor>
    <xdr:from>
      <xdr:col>0</xdr:col>
      <xdr:colOff>259080</xdr:colOff>
      <xdr:row>13</xdr:row>
      <xdr:rowOff>30480</xdr:rowOff>
    </xdr:from>
    <xdr:ext cx="3931919" cy="419100"/>
    <xdr:sp macro="" textlink="">
      <xdr:nvSpPr>
        <xdr:cNvPr id="16" name="TextBox 15"/>
        <xdr:cNvSpPr txBox="1"/>
      </xdr:nvSpPr>
      <xdr:spPr>
        <a:xfrm>
          <a:off x="259080" y="3009900"/>
          <a:ext cx="3931919" cy="419100"/>
        </a:xfrm>
        <a:prstGeom prst="rect">
          <a:avLst/>
        </a:prstGeom>
        <a:gradFill flip="none" rotWithShape="1">
          <a:gsLst>
            <a:gs pos="0">
              <a:schemeClr val="accent4">
                <a:tint val="66000"/>
                <a:satMod val="160000"/>
              </a:schemeClr>
            </a:gs>
            <a:gs pos="50000">
              <a:schemeClr val="accent4">
                <a:tint val="44500"/>
                <a:satMod val="160000"/>
              </a:schemeClr>
            </a:gs>
            <a:gs pos="100000">
              <a:schemeClr val="accent4">
                <a:tint val="23500"/>
                <a:satMod val="160000"/>
              </a:schemeClr>
            </a:gs>
          </a:gsLst>
          <a:lin ang="1080000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ru-RU" sz="14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Чистая прибыль    </a:t>
          </a:r>
          <a:r>
            <a:rPr lang="ru-RU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</a:t>
          </a:r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1 270 850,00 ₽ </a:t>
          </a:r>
          <a:r>
            <a:rPr lang="ru-RU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249767</xdr:colOff>
      <xdr:row>15</xdr:row>
      <xdr:rowOff>129540</xdr:rowOff>
    </xdr:from>
    <xdr:ext cx="3941233" cy="403860"/>
    <xdr:sp macro="" textlink="">
      <xdr:nvSpPr>
        <xdr:cNvPr id="17" name="TextBox 16"/>
        <xdr:cNvSpPr txBox="1"/>
      </xdr:nvSpPr>
      <xdr:spPr>
        <a:xfrm>
          <a:off x="249767" y="3452707"/>
          <a:ext cx="3941233" cy="40386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Эффективность</a:t>
          </a:r>
          <a:r>
            <a:rPr lang="ru-RU" sz="1400" b="1"/>
            <a:t>   </a:t>
          </a:r>
          <a:r>
            <a:rPr lang="ru-RU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26,86   </a:t>
          </a:r>
          <a:r>
            <a:rPr lang="ru-RU" sz="1400" b="1"/>
            <a:t> </a:t>
          </a:r>
          <a:endParaRPr lang="ru-RU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245532</xdr:colOff>
      <xdr:row>18</xdr:row>
      <xdr:rowOff>45720</xdr:rowOff>
    </xdr:from>
    <xdr:ext cx="3949701" cy="396240"/>
    <xdr:sp macro="" textlink="">
      <xdr:nvSpPr>
        <xdr:cNvPr id="18" name="TextBox 17"/>
        <xdr:cNvSpPr txBox="1"/>
      </xdr:nvSpPr>
      <xdr:spPr>
        <a:xfrm>
          <a:off x="245532" y="3876887"/>
          <a:ext cx="3949701" cy="396240"/>
        </a:xfrm>
        <a:prstGeom prst="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1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1">
                <a:lumMod val="60000"/>
                <a:lumOff val="40000"/>
                <a:tint val="23500"/>
                <a:satMod val="160000"/>
              </a:schemeClr>
            </a:gs>
          </a:gsLst>
          <a:lin ang="810000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ru-RU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Пиковый месяц                            апрель</a:t>
          </a:r>
        </a:p>
      </xdr:txBody>
    </xdr:sp>
    <xdr:clientData/>
  </xdr:oneCellAnchor>
  <xdr:oneCellAnchor>
    <xdr:from>
      <xdr:col>0</xdr:col>
      <xdr:colOff>266700</xdr:colOff>
      <xdr:row>6</xdr:row>
      <xdr:rowOff>129540</xdr:rowOff>
    </xdr:from>
    <xdr:ext cx="3931920" cy="449580"/>
    <xdr:sp macro="" textlink="">
      <xdr:nvSpPr>
        <xdr:cNvPr id="19" name="TextBox 18"/>
        <xdr:cNvSpPr txBox="1"/>
      </xdr:nvSpPr>
      <xdr:spPr>
        <a:xfrm>
          <a:off x="266700" y="1706880"/>
          <a:ext cx="3931920" cy="449580"/>
        </a:xfrm>
        <a:prstGeom prst="rect">
          <a:avLst/>
        </a:prstGeom>
        <a:solidFill>
          <a:schemeClr val="bg2">
            <a:lumMod val="8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 prst="angle"/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800" b="1" i="0" cap="none" spc="0">
              <a:ln>
                <a:solidFill>
                  <a:schemeClr val="tx2"/>
                </a:solidFill>
              </a:ln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📊   </a:t>
          </a:r>
          <a:r>
            <a:rPr lang="ru-RU" sz="1800" b="1" cap="none" spc="0">
              <a:ln w="0">
                <a:solidFill>
                  <a:schemeClr val="tx2"/>
                </a:solidFill>
              </a:ln>
              <a:solidFill>
                <a:schemeClr val="tx2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КЛЮЧЕВЫЕ </a:t>
          </a:r>
          <a:r>
            <a:rPr lang="ru-RU" sz="1800" b="1" cap="none" spc="0">
              <a:ln w="0">
                <a:noFill/>
              </a:ln>
              <a:solidFill>
                <a:schemeClr val="tx2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МЕТРИКИ</a:t>
          </a:r>
          <a:r>
            <a:rPr lang="ru-RU" sz="1800" b="1" cap="none" spc="0">
              <a:ln w="0">
                <a:solidFill>
                  <a:schemeClr val="tx2"/>
                </a:solidFill>
              </a:ln>
              <a:solidFill>
                <a:schemeClr val="tx2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 (</a:t>
          </a:r>
          <a:r>
            <a:rPr lang="en-US" sz="1800" b="1" cap="none" spc="0">
              <a:ln w="0">
                <a:solidFill>
                  <a:schemeClr val="tx2"/>
                </a:solidFill>
              </a:ln>
              <a:solidFill>
                <a:schemeClr val="tx2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rPr>
            <a:t>KPI)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1" i="0" cap="none" spc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endParaRPr lang="ru-RU" sz="1200" b="1" cap="none" spc="0">
            <a:ln/>
            <a:solidFill>
              <a:schemeClr val="accent4"/>
            </a:solidFill>
            <a:effectLst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55.978172453702" createdVersion="6" refreshedVersion="6" minRefreshableVersion="3" recordCount="47">
  <cacheSource type="worksheet">
    <worksheetSource ref="A1:H1048576" sheet="Cleaned_data"/>
  </cacheSource>
  <cacheFields count="8">
    <cacheField name="Даты" numFmtId="0">
      <sharedItems containsNonDate="0" containsDate="1" containsString="0" containsBlank="1" minDate="2024-01-01T00:00:00" maxDate="2024-08-29T00:00:00"/>
    </cacheField>
    <cacheField name="Категории " numFmtId="0">
      <sharedItems containsBlank="1"/>
    </cacheField>
    <cacheField name="Количество" numFmtId="0">
      <sharedItems containsString="0" containsBlank="1" containsNumber="1" containsInteger="1" minValue="150" maxValue="1000000" count="33">
        <n v="500"/>
        <n v="1200"/>
        <n v="850"/>
        <n v="300"/>
        <n v="50000"/>
        <n v="3500"/>
        <n v="700"/>
        <n v="55000"/>
        <n v="600"/>
        <n v="2500"/>
        <n v="150"/>
        <n v="1000000"/>
        <n v="800"/>
        <n v="450"/>
        <n v="52000"/>
        <n v="1500"/>
        <n v="1300"/>
        <n v="4000"/>
        <n v="53000"/>
        <n v="900"/>
        <n v="550"/>
        <n v="54000"/>
        <n v="1100"/>
        <n v="2000"/>
        <n v="5000"/>
        <n v="400"/>
        <n v="200"/>
        <n v="650"/>
        <n v="56000"/>
        <n v="3000"/>
        <n v="1800"/>
        <n v="1400"/>
        <m/>
      </sharedItems>
    </cacheField>
    <cacheField name="Описание" numFmtId="0">
      <sharedItems containsBlank="1"/>
    </cacheField>
    <cacheField name="Тип" numFmtId="0">
      <sharedItems containsBlank="1" count="3">
        <s v="Расход"/>
        <s v="Доход"/>
        <m/>
      </sharedItems>
    </cacheField>
    <cacheField name="Месяц" numFmtId="0">
      <sharedItems containsBlank="1" count="9">
        <s v="январь"/>
        <s v="февраль"/>
        <s v="март"/>
        <s v="апрель"/>
        <s v="май"/>
        <s v="июнь"/>
        <s v="июль"/>
        <s v="август"/>
        <m/>
      </sharedItems>
    </cacheField>
    <cacheField name="Размер транзакции" numFmtId="0">
      <sharedItems containsBlank="1"/>
    </cacheField>
    <cacheField name="Приоретет" numFmtId="0">
      <sharedItems containsBlank="1" count="9">
        <s v="Питание"/>
        <s v="Развлечения"/>
        <s v="Транспорт"/>
        <s v="Доходы"/>
        <s v="Подарки"/>
        <s v="Прочее"/>
        <s v="Здоровье"/>
        <s v="Одежд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d v="2024-01-01T00:00:00"/>
    <s v="Еда"/>
    <x v="0"/>
    <s v="Продукты"/>
    <x v="0"/>
    <x v="0"/>
    <s v="Малая"/>
    <x v="0"/>
  </r>
  <r>
    <d v="2024-01-15T00:00:00"/>
    <s v="Продукты"/>
    <x v="1"/>
    <s v="Магазин"/>
    <x v="0"/>
    <x v="0"/>
    <s v="Средняя"/>
    <x v="0"/>
  </r>
  <r>
    <d v="2024-01-20T00:00:00"/>
    <s v="Кафе"/>
    <x v="2"/>
    <s v="Ужин"/>
    <x v="0"/>
    <x v="0"/>
    <s v="Малая"/>
    <x v="1"/>
  </r>
  <r>
    <d v="2024-02-02T00:00:00"/>
    <s v="Транспорт"/>
    <x v="3"/>
    <s v="Такси"/>
    <x v="0"/>
    <x v="1"/>
    <s v="Малая"/>
    <x v="2"/>
  </r>
  <r>
    <d v="2024-02-02T00:00:00"/>
    <s v="Зарплата"/>
    <x v="4"/>
    <s v="Аванс"/>
    <x v="1"/>
    <x v="1"/>
    <s v="Крупная"/>
    <x v="3"/>
  </r>
  <r>
    <d v="2024-02-10T00:00:00"/>
    <s v="Супермаркет"/>
    <x v="5"/>
    <s v="Продукты"/>
    <x v="0"/>
    <x v="1"/>
    <s v="Средняя"/>
    <x v="0"/>
  </r>
  <r>
    <d v="2024-02-15T00:00:00"/>
    <s v="Развлечения"/>
    <x v="6"/>
    <s v="Кино"/>
    <x v="0"/>
    <x v="1"/>
    <s v="Малая"/>
    <x v="1"/>
  </r>
  <r>
    <d v="2024-02-25T00:00:00"/>
    <s v="Зарплата"/>
    <x v="7"/>
    <s v="Зарплата"/>
    <x v="1"/>
    <x v="1"/>
    <s v="Крупная"/>
    <x v="3"/>
  </r>
  <r>
    <d v="2024-03-10T00:00:00"/>
    <s v="Еда"/>
    <x v="8"/>
    <s v="Обед"/>
    <x v="0"/>
    <x v="2"/>
    <s v="Малая"/>
    <x v="0"/>
  </r>
  <r>
    <d v="2024-03-28T00:00:00"/>
    <s v="Подарок"/>
    <x v="9"/>
    <s v="Подарок"/>
    <x v="0"/>
    <x v="2"/>
    <s v="Средняя"/>
    <x v="4"/>
  </r>
  <r>
    <d v="2024-04-01T00:00:00"/>
    <s v="Прочее"/>
    <x v="10"/>
    <s v="Канцелярия"/>
    <x v="0"/>
    <x v="3"/>
    <s v="Малая"/>
    <x v="5"/>
  </r>
  <r>
    <d v="2024-04-01T00:00:00"/>
    <s v="Зарплата"/>
    <x v="11"/>
    <s v="Премия"/>
    <x v="1"/>
    <x v="3"/>
    <s v="Крупная"/>
    <x v="3"/>
  </r>
  <r>
    <d v="2024-04-05T00:00:00"/>
    <s v="Транспорт"/>
    <x v="0"/>
    <s v="Заправка"/>
    <x v="0"/>
    <x v="3"/>
    <s v="Малая"/>
    <x v="2"/>
  </r>
  <r>
    <d v="2024-04-05T00:00:00"/>
    <s v="Транспорт"/>
    <x v="0"/>
    <s v="Заправка"/>
    <x v="0"/>
    <x v="3"/>
    <s v="Малая"/>
    <x v="2"/>
  </r>
  <r>
    <d v="2024-04-15T00:00:00"/>
    <s v="Еда"/>
    <x v="12"/>
    <s v="Ужин"/>
    <x v="0"/>
    <x v="3"/>
    <s v="Малая"/>
    <x v="0"/>
  </r>
  <r>
    <d v="2024-04-20T00:00:00"/>
    <s v="Здоровье"/>
    <x v="1"/>
    <s v="Витамины"/>
    <x v="0"/>
    <x v="3"/>
    <s v="Средняя"/>
    <x v="6"/>
  </r>
  <r>
    <d v="2024-05-02T00:00:00"/>
    <s v="Еда"/>
    <x v="13"/>
    <s v="Завтрак"/>
    <x v="0"/>
    <x v="4"/>
    <s v="Малая"/>
    <x v="0"/>
  </r>
  <r>
    <d v="2024-05-10T00:00:00"/>
    <s v="Транспорт"/>
    <x v="1"/>
    <s v="Проездной"/>
    <x v="0"/>
    <x v="4"/>
    <s v="Средняя"/>
    <x v="2"/>
  </r>
  <r>
    <d v="2024-05-15T00:00:00"/>
    <s v="Зарплата"/>
    <x v="14"/>
    <s v="Зарплата"/>
    <x v="1"/>
    <x v="4"/>
    <s v="Крупная"/>
    <x v="3"/>
  </r>
  <r>
    <d v="2024-05-18T00:00:00"/>
    <s v="Развлечения"/>
    <x v="15"/>
    <s v="Концерт"/>
    <x v="0"/>
    <x v="4"/>
    <s v="Средняя"/>
    <x v="1"/>
  </r>
  <r>
    <d v="2024-05-25T00:00:00"/>
    <s v="Кафе"/>
    <x v="16"/>
    <s v="Ужин"/>
    <x v="0"/>
    <x v="4"/>
    <s v="Средняя"/>
    <x v="1"/>
  </r>
  <r>
    <d v="2024-06-01T00:00:00"/>
    <s v="Транспорт"/>
    <x v="8"/>
    <s v="Такси"/>
    <x v="0"/>
    <x v="5"/>
    <s v="Малая"/>
    <x v="2"/>
  </r>
  <r>
    <d v="2024-06-05T00:00:00"/>
    <s v="Одежда"/>
    <x v="17"/>
    <s v="Джинсы"/>
    <x v="0"/>
    <x v="5"/>
    <s v="Средняя"/>
    <x v="7"/>
  </r>
  <r>
    <d v="2024-06-10T00:00:00"/>
    <s v="Зарплата"/>
    <x v="18"/>
    <s v="Зарплата"/>
    <x v="1"/>
    <x v="5"/>
    <s v="Крупная"/>
    <x v="3"/>
  </r>
  <r>
    <d v="2024-06-15T00:00:00"/>
    <s v="Подарок"/>
    <x v="12"/>
    <s v="Цветы"/>
    <x v="0"/>
    <x v="5"/>
    <s v="Малая"/>
    <x v="4"/>
  </r>
  <r>
    <d v="2024-06-20T00:00:00"/>
    <s v="Еда"/>
    <x v="6"/>
    <s v="Обед"/>
    <x v="0"/>
    <x v="5"/>
    <s v="Малая"/>
    <x v="0"/>
  </r>
  <r>
    <d v="2024-06-25T00:00:00"/>
    <s v="Развлечения"/>
    <x v="19"/>
    <s v="Кино"/>
    <x v="0"/>
    <x v="5"/>
    <s v="Малая"/>
    <x v="1"/>
  </r>
  <r>
    <d v="2024-06-30T00:00:00"/>
    <s v="Прочее"/>
    <x v="3"/>
    <s v="Книга"/>
    <x v="0"/>
    <x v="5"/>
    <s v="Малая"/>
    <x v="5"/>
  </r>
  <r>
    <d v="2024-07-02T00:00:00"/>
    <s v="Транспорт"/>
    <x v="20"/>
    <s v="Заправка"/>
    <x v="0"/>
    <x v="6"/>
    <s v="Малая"/>
    <x v="2"/>
  </r>
  <r>
    <d v="2024-07-05T00:00:00"/>
    <s v="Еда"/>
    <x v="1"/>
    <s v="Продукты"/>
    <x v="0"/>
    <x v="6"/>
    <s v="Средняя"/>
    <x v="0"/>
  </r>
  <r>
    <d v="2024-07-10T00:00:00"/>
    <s v="Зарплата"/>
    <x v="21"/>
    <s v="Зарплата"/>
    <x v="1"/>
    <x v="6"/>
    <s v="Крупная"/>
    <x v="3"/>
  </r>
  <r>
    <d v="2024-07-12T00:00:00"/>
    <s v="Здоровье"/>
    <x v="9"/>
    <s v="Стоматолог"/>
    <x v="0"/>
    <x v="6"/>
    <s v="Средняя"/>
    <x v="6"/>
  </r>
  <r>
    <d v="2024-07-15T00:00:00"/>
    <s v="Кафе"/>
    <x v="22"/>
    <s v="Кофе"/>
    <x v="0"/>
    <x v="6"/>
    <s v="Средняя"/>
    <x v="1"/>
  </r>
  <r>
    <d v="2024-07-18T00:00:00"/>
    <s v="Развлечения"/>
    <x v="23"/>
    <s v="Аквапарк"/>
    <x v="0"/>
    <x v="6"/>
    <s v="Средняя"/>
    <x v="1"/>
  </r>
  <r>
    <d v="2024-07-22T00:00:00"/>
    <s v="Подарок"/>
    <x v="24"/>
    <s v="Подарок"/>
    <x v="0"/>
    <x v="6"/>
    <s v="Средняя"/>
    <x v="4"/>
  </r>
  <r>
    <d v="2024-07-25T00:00:00"/>
    <s v="Еда"/>
    <x v="19"/>
    <s v="Ужин"/>
    <x v="0"/>
    <x v="6"/>
    <s v="Малая"/>
    <x v="0"/>
  </r>
  <r>
    <d v="2024-07-28T00:00:00"/>
    <s v="Транспорт"/>
    <x v="25"/>
    <s v="Такси"/>
    <x v="0"/>
    <x v="6"/>
    <s v="Малая"/>
    <x v="2"/>
  </r>
  <r>
    <d v="2024-08-01T00:00:00"/>
    <s v="Прочее"/>
    <x v="26"/>
    <s v="Чайник"/>
    <x v="0"/>
    <x v="7"/>
    <s v="Малая"/>
    <x v="5"/>
  </r>
  <r>
    <d v="2024-08-05T00:00:00"/>
    <s v="Еда"/>
    <x v="27"/>
    <s v="Обед"/>
    <x v="0"/>
    <x v="7"/>
    <s v="Малая"/>
    <x v="0"/>
  </r>
  <r>
    <d v="2024-08-10T00:00:00"/>
    <s v="Зарплата"/>
    <x v="28"/>
    <s v="Зарплата"/>
    <x v="1"/>
    <x v="7"/>
    <s v="Крупная"/>
    <x v="3"/>
  </r>
  <r>
    <d v="2024-08-12T00:00:00"/>
    <s v="Одежда"/>
    <x v="29"/>
    <s v="Кроссовки"/>
    <x v="0"/>
    <x v="7"/>
    <s v="Средняя"/>
    <x v="7"/>
  </r>
  <r>
    <d v="2024-08-15T00:00:00"/>
    <s v="Развлечения"/>
    <x v="1"/>
    <s v="Боулинг"/>
    <x v="0"/>
    <x v="7"/>
    <s v="Средняя"/>
    <x v="1"/>
  </r>
  <r>
    <d v="2024-08-18T00:00:00"/>
    <s v="Кафе"/>
    <x v="30"/>
    <s v="Ужин"/>
    <x v="0"/>
    <x v="7"/>
    <s v="Средняя"/>
    <x v="1"/>
  </r>
  <r>
    <d v="2024-08-22T00:00:00"/>
    <s v="Транспорт"/>
    <x v="6"/>
    <s v="Ремонт"/>
    <x v="0"/>
    <x v="7"/>
    <s v="Малая"/>
    <x v="2"/>
  </r>
  <r>
    <d v="2024-08-25T00:00:00"/>
    <s v="Еда"/>
    <x v="31"/>
    <s v="Продукты"/>
    <x v="0"/>
    <x v="7"/>
    <s v="Средняя"/>
    <x v="0"/>
  </r>
  <r>
    <d v="2024-08-28T00:00:00"/>
    <s v="Подарок"/>
    <x v="15"/>
    <s v="Сувенир"/>
    <x v="0"/>
    <x v="7"/>
    <s v="Средняя"/>
    <x v="4"/>
  </r>
  <r>
    <m/>
    <m/>
    <x v="32"/>
    <m/>
    <x v="2"/>
    <x v="8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showDrill="0" useAutoFormatting="1" itemPrintTitles="1" createdVersion="6" indent="0" outline="1" outlineData="1" multipleFieldFilters="0" chartFormat="7" rowHeaderCaption="Приоритет">
  <location ref="D40:E48" firstHeaderRow="1" firstDataRow="1" firstDataCol="1" rowPageCount="1" colPageCount="1"/>
  <pivotFields count="8">
    <pivotField showAll="0"/>
    <pivotField showAll="0"/>
    <pivotField dataField="1" showAll="0"/>
    <pivotField showAll="0"/>
    <pivotField name="Тип:"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0">
        <item x="3"/>
        <item x="6"/>
        <item x="7"/>
        <item x="0"/>
        <item x="4"/>
        <item x="5"/>
        <item x="1"/>
        <item x="2"/>
        <item x="8"/>
        <item t="default"/>
      </items>
    </pivotField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item="1" hier="-1"/>
  </pageFields>
  <dataFields count="1">
    <dataField name="Сумма" fld="2" baseField="7" baseItem="1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7" count="7">
            <x v="1"/>
            <x v="2"/>
            <x v="3"/>
            <x v="4"/>
            <x v="5"/>
            <x v="6"/>
            <x v="7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7" count="7"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8"/>
  <sheetViews>
    <sheetView topLeftCell="A5" zoomScale="80" zoomScaleNormal="80" workbookViewId="0">
      <selection activeCell="R5" sqref="R1:R1048576"/>
    </sheetView>
  </sheetViews>
  <sheetFormatPr defaultColWidth="12.6640625" defaultRowHeight="15.75" customHeight="1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7"/>
  <sheetViews>
    <sheetView topLeftCell="B2" zoomScale="90" zoomScaleNormal="90" workbookViewId="0">
      <selection activeCell="R2" sqref="R1:R1048576"/>
    </sheetView>
  </sheetViews>
  <sheetFormatPr defaultColWidth="12.6640625" defaultRowHeight="15.75" customHeight="1" x14ac:dyDescent="0.25"/>
  <cols>
    <col min="6" max="6" width="16.109375" bestFit="1" customWidth="1"/>
    <col min="7" max="7" width="18.88671875" customWidth="1"/>
    <col min="8" max="8" width="18.77734375" bestFit="1" customWidth="1"/>
    <col min="11" max="11" width="17.33203125" customWidth="1"/>
    <col min="12" max="12" width="8.109375" bestFit="1" customWidth="1"/>
    <col min="13" max="13" width="9.109375" bestFit="1" customWidth="1"/>
    <col min="14" max="14" width="11.88671875" customWidth="1"/>
  </cols>
  <sheetData>
    <row r="1" spans="1:13" x14ac:dyDescent="0.25">
      <c r="A1" s="2" t="s">
        <v>48</v>
      </c>
      <c r="B1" s="2" t="s">
        <v>49</v>
      </c>
      <c r="C1" s="3" t="s">
        <v>50</v>
      </c>
      <c r="D1" s="2" t="s">
        <v>51</v>
      </c>
      <c r="E1" s="14" t="s">
        <v>101</v>
      </c>
      <c r="F1" s="2" t="s">
        <v>52</v>
      </c>
      <c r="G1" s="2" t="s">
        <v>53</v>
      </c>
      <c r="H1" s="2" t="s">
        <v>54</v>
      </c>
    </row>
    <row r="2" spans="1:13" x14ac:dyDescent="0.25">
      <c r="A2" s="4">
        <v>45292</v>
      </c>
      <c r="B2" s="5" t="s">
        <v>55</v>
      </c>
      <c r="C2" s="6">
        <v>500</v>
      </c>
      <c r="D2" s="5" t="s">
        <v>56</v>
      </c>
      <c r="E2" s="5" t="s">
        <v>57</v>
      </c>
      <c r="F2" s="7" t="str">
        <f t="shared" ref="F2:F47" si="0">CHOOSE(MONTH(A2), "январь", "февраль", "март", "апрель", "май", "июнь", "июль", "август", "сентябрь", "октябрь", "ноябрь", "декабрь")</f>
        <v>январь</v>
      </c>
      <c r="G2" s="8" t="str">
        <f t="shared" ref="G2:G47" si="1">IF(C2&lt;=1000, "Малая",IF(C2&lt;=5000, "Средняя", "Крупная"))</f>
        <v>Малая</v>
      </c>
      <c r="H2" s="8" t="str">
        <f t="shared" ref="H2:H47" si="2">IF(B2="Зарплата", "Доходы", IF(OR(B2="Еда", B2="Продукты", B2="Супермаркет"), "Питание", IF(B2="Транспорт", "Транспорт", IF(B2="Здоровье", "Здоровье", IF(OR(B2="Кафе", B2="Развлечения"), "Развлечения", IF(B2="Одежда", "Одежда", IF(B2="Подарок", "Подарки", "Прочее")))))))</f>
        <v>Питание</v>
      </c>
      <c r="J2" s="12" t="s">
        <v>52</v>
      </c>
      <c r="K2" s="12" t="s">
        <v>65</v>
      </c>
      <c r="L2" s="12" t="s">
        <v>57</v>
      </c>
      <c r="M2" s="13" t="s">
        <v>100</v>
      </c>
    </row>
    <row r="3" spans="1:13" x14ac:dyDescent="0.25">
      <c r="A3" s="4">
        <v>45306</v>
      </c>
      <c r="B3" s="5" t="s">
        <v>56</v>
      </c>
      <c r="C3" s="6">
        <v>1200</v>
      </c>
      <c r="D3" s="5" t="s">
        <v>58</v>
      </c>
      <c r="E3" s="5" t="s">
        <v>57</v>
      </c>
      <c r="F3" s="7" t="str">
        <f t="shared" si="0"/>
        <v>январь</v>
      </c>
      <c r="G3" s="8" t="str">
        <f t="shared" si="1"/>
        <v>Средняя</v>
      </c>
      <c r="H3" s="8" t="str">
        <f t="shared" si="2"/>
        <v>Питание</v>
      </c>
      <c r="J3" s="9" t="s">
        <v>92</v>
      </c>
      <c r="K3" s="10">
        <v>0</v>
      </c>
      <c r="L3" s="10">
        <v>2550</v>
      </c>
      <c r="M3" s="11">
        <v>-2550</v>
      </c>
    </row>
    <row r="4" spans="1:13" x14ac:dyDescent="0.25">
      <c r="A4" s="4">
        <v>45311</v>
      </c>
      <c r="B4" s="5" t="s">
        <v>59</v>
      </c>
      <c r="C4" s="6">
        <v>850</v>
      </c>
      <c r="D4" s="5" t="s">
        <v>60</v>
      </c>
      <c r="E4" s="5" t="s">
        <v>57</v>
      </c>
      <c r="F4" s="7" t="str">
        <f t="shared" si="0"/>
        <v>январь</v>
      </c>
      <c r="G4" s="8" t="str">
        <f t="shared" si="1"/>
        <v>Малая</v>
      </c>
      <c r="H4" s="8" t="str">
        <f t="shared" si="2"/>
        <v>Развлечения</v>
      </c>
      <c r="J4" s="9" t="s">
        <v>93</v>
      </c>
      <c r="K4" s="10">
        <v>105000</v>
      </c>
      <c r="L4" s="10">
        <v>4500</v>
      </c>
      <c r="M4" s="10">
        <f>K4-L4</f>
        <v>100500</v>
      </c>
    </row>
    <row r="5" spans="1:13" x14ac:dyDescent="0.25">
      <c r="A5" s="4">
        <v>45324</v>
      </c>
      <c r="B5" s="5" t="s">
        <v>61</v>
      </c>
      <c r="C5" s="6">
        <v>300</v>
      </c>
      <c r="D5" s="5" t="s">
        <v>62</v>
      </c>
      <c r="E5" s="5" t="s">
        <v>57</v>
      </c>
      <c r="F5" s="7" t="str">
        <f t="shared" si="0"/>
        <v>февраль</v>
      </c>
      <c r="G5" s="8" t="str">
        <f t="shared" si="1"/>
        <v>Малая</v>
      </c>
      <c r="H5" s="8" t="str">
        <f t="shared" si="2"/>
        <v>Транспорт</v>
      </c>
      <c r="J5" s="9" t="s">
        <v>94</v>
      </c>
      <c r="K5" s="10">
        <v>0</v>
      </c>
      <c r="L5" s="10">
        <v>3100</v>
      </c>
      <c r="M5" s="10">
        <f t="shared" ref="M5:M10" si="3">K5-L5</f>
        <v>-3100</v>
      </c>
    </row>
    <row r="6" spans="1:13" x14ac:dyDescent="0.25">
      <c r="A6" s="4">
        <v>45324</v>
      </c>
      <c r="B6" s="5" t="s">
        <v>63</v>
      </c>
      <c r="C6" s="6">
        <v>50000</v>
      </c>
      <c r="D6" s="5" t="s">
        <v>64</v>
      </c>
      <c r="E6" s="5" t="s">
        <v>65</v>
      </c>
      <c r="F6" s="7" t="str">
        <f t="shared" si="0"/>
        <v>февраль</v>
      </c>
      <c r="G6" s="8" t="str">
        <f t="shared" si="1"/>
        <v>Крупная</v>
      </c>
      <c r="H6" s="8" t="str">
        <f t="shared" si="2"/>
        <v>Доходы</v>
      </c>
      <c r="J6" s="9" t="s">
        <v>95</v>
      </c>
      <c r="K6" s="10">
        <v>1000000</v>
      </c>
      <c r="L6" s="10">
        <v>3150</v>
      </c>
      <c r="M6" s="10">
        <f t="shared" si="3"/>
        <v>996850</v>
      </c>
    </row>
    <row r="7" spans="1:13" x14ac:dyDescent="0.25">
      <c r="A7" s="4">
        <v>45332</v>
      </c>
      <c r="B7" s="5" t="s">
        <v>66</v>
      </c>
      <c r="C7" s="6">
        <v>3500</v>
      </c>
      <c r="D7" s="5" t="s">
        <v>56</v>
      </c>
      <c r="E7" s="5" t="s">
        <v>57</v>
      </c>
      <c r="F7" s="7" t="str">
        <f t="shared" si="0"/>
        <v>февраль</v>
      </c>
      <c r="G7" s="8" t="str">
        <f t="shared" si="1"/>
        <v>Средняя</v>
      </c>
      <c r="H7" s="8" t="str">
        <f t="shared" si="2"/>
        <v>Питание</v>
      </c>
      <c r="J7" s="9" t="s">
        <v>96</v>
      </c>
      <c r="K7" s="10">
        <v>52000</v>
      </c>
      <c r="L7" s="10">
        <v>4450</v>
      </c>
      <c r="M7" s="10">
        <f t="shared" si="3"/>
        <v>47550</v>
      </c>
    </row>
    <row r="8" spans="1:13" x14ac:dyDescent="0.25">
      <c r="A8" s="4">
        <v>45337</v>
      </c>
      <c r="B8" s="5" t="s">
        <v>67</v>
      </c>
      <c r="C8" s="6">
        <v>700</v>
      </c>
      <c r="D8" s="5" t="s">
        <v>68</v>
      </c>
      <c r="E8" s="5" t="s">
        <v>57</v>
      </c>
      <c r="F8" s="7" t="str">
        <f t="shared" si="0"/>
        <v>февраль</v>
      </c>
      <c r="G8" s="8" t="str">
        <f t="shared" si="1"/>
        <v>Малая</v>
      </c>
      <c r="H8" s="8" t="str">
        <f t="shared" si="2"/>
        <v>Развлечения</v>
      </c>
      <c r="J8" s="9" t="s">
        <v>97</v>
      </c>
      <c r="K8" s="10">
        <v>53000</v>
      </c>
      <c r="L8" s="10">
        <v>7300</v>
      </c>
      <c r="M8" s="10">
        <f t="shared" si="3"/>
        <v>45700</v>
      </c>
    </row>
    <row r="9" spans="1:13" x14ac:dyDescent="0.25">
      <c r="A9" s="4">
        <v>45347</v>
      </c>
      <c r="B9" s="5" t="s">
        <v>63</v>
      </c>
      <c r="C9" s="6">
        <v>55000</v>
      </c>
      <c r="D9" s="5" t="s">
        <v>63</v>
      </c>
      <c r="E9" s="5" t="s">
        <v>65</v>
      </c>
      <c r="F9" s="7" t="str">
        <f t="shared" si="0"/>
        <v>февраль</v>
      </c>
      <c r="G9" s="8" t="str">
        <f t="shared" si="1"/>
        <v>Крупная</v>
      </c>
      <c r="H9" s="8" t="str">
        <f t="shared" si="2"/>
        <v>Доходы</v>
      </c>
      <c r="J9" s="9" t="s">
        <v>98</v>
      </c>
      <c r="K9" s="10">
        <v>54000</v>
      </c>
      <c r="L9" s="10">
        <v>13650</v>
      </c>
      <c r="M9" s="10">
        <f t="shared" si="3"/>
        <v>40350</v>
      </c>
    </row>
    <row r="10" spans="1:13" x14ac:dyDescent="0.25">
      <c r="A10" s="4">
        <v>45361</v>
      </c>
      <c r="B10" s="5" t="s">
        <v>55</v>
      </c>
      <c r="C10" s="6">
        <v>600</v>
      </c>
      <c r="D10" s="5" t="s">
        <v>69</v>
      </c>
      <c r="E10" s="5" t="s">
        <v>57</v>
      </c>
      <c r="F10" s="7" t="str">
        <f t="shared" si="0"/>
        <v>март</v>
      </c>
      <c r="G10" s="8" t="str">
        <f t="shared" si="1"/>
        <v>Малая</v>
      </c>
      <c r="H10" s="8" t="str">
        <f t="shared" si="2"/>
        <v>Питание</v>
      </c>
      <c r="J10" s="9" t="s">
        <v>99</v>
      </c>
      <c r="K10" s="10">
        <v>56000</v>
      </c>
      <c r="L10" s="10">
        <v>10450</v>
      </c>
      <c r="M10" s="10">
        <f t="shared" si="3"/>
        <v>45550</v>
      </c>
    </row>
    <row r="11" spans="1:13" x14ac:dyDescent="0.25">
      <c r="A11" s="4">
        <v>45379</v>
      </c>
      <c r="B11" s="5" t="s">
        <v>70</v>
      </c>
      <c r="C11" s="6">
        <v>2500</v>
      </c>
      <c r="D11" s="5" t="s">
        <v>70</v>
      </c>
      <c r="E11" s="5" t="s">
        <v>57</v>
      </c>
      <c r="F11" s="7" t="str">
        <f t="shared" si="0"/>
        <v>март</v>
      </c>
      <c r="G11" s="8" t="str">
        <f t="shared" si="1"/>
        <v>Средняя</v>
      </c>
      <c r="H11" s="8" t="str">
        <f t="shared" si="2"/>
        <v>Подарки</v>
      </c>
    </row>
    <row r="12" spans="1:13" x14ac:dyDescent="0.25">
      <c r="A12" s="4">
        <v>45383</v>
      </c>
      <c r="B12" s="5" t="s">
        <v>71</v>
      </c>
      <c r="C12" s="6">
        <v>150</v>
      </c>
      <c r="D12" s="5" t="s">
        <v>72</v>
      </c>
      <c r="E12" s="5" t="s">
        <v>57</v>
      </c>
      <c r="F12" s="7" t="str">
        <f t="shared" si="0"/>
        <v>апрель</v>
      </c>
      <c r="G12" s="8" t="str">
        <f t="shared" si="1"/>
        <v>Малая</v>
      </c>
      <c r="H12" s="8" t="str">
        <f t="shared" si="2"/>
        <v>Прочее</v>
      </c>
    </row>
    <row r="13" spans="1:13" x14ac:dyDescent="0.25">
      <c r="A13" s="4">
        <v>45383</v>
      </c>
      <c r="B13" s="5" t="s">
        <v>63</v>
      </c>
      <c r="C13" s="6">
        <v>1000000</v>
      </c>
      <c r="D13" s="5" t="s">
        <v>73</v>
      </c>
      <c r="E13" s="5" t="s">
        <v>65</v>
      </c>
      <c r="F13" s="7" t="str">
        <f t="shared" si="0"/>
        <v>апрель</v>
      </c>
      <c r="G13" s="8" t="str">
        <f t="shared" si="1"/>
        <v>Крупная</v>
      </c>
      <c r="H13" s="8" t="str">
        <f t="shared" si="2"/>
        <v>Доходы</v>
      </c>
    </row>
    <row r="14" spans="1:13" x14ac:dyDescent="0.25">
      <c r="A14" s="4">
        <v>45387</v>
      </c>
      <c r="B14" s="5" t="s">
        <v>61</v>
      </c>
      <c r="C14" s="6">
        <v>500</v>
      </c>
      <c r="D14" s="5" t="s">
        <v>74</v>
      </c>
      <c r="E14" s="5" t="s">
        <v>57</v>
      </c>
      <c r="F14" s="7" t="str">
        <f t="shared" si="0"/>
        <v>апрель</v>
      </c>
      <c r="G14" s="8" t="str">
        <f t="shared" si="1"/>
        <v>Малая</v>
      </c>
      <c r="H14" s="8" t="str">
        <f t="shared" si="2"/>
        <v>Транспорт</v>
      </c>
    </row>
    <row r="15" spans="1:13" x14ac:dyDescent="0.25">
      <c r="A15" s="4">
        <v>45387</v>
      </c>
      <c r="B15" s="5" t="s">
        <v>61</v>
      </c>
      <c r="C15" s="6">
        <v>500</v>
      </c>
      <c r="D15" s="5" t="s">
        <v>74</v>
      </c>
      <c r="E15" s="5" t="s">
        <v>57</v>
      </c>
      <c r="F15" s="7" t="str">
        <f t="shared" si="0"/>
        <v>апрель</v>
      </c>
      <c r="G15" s="8" t="str">
        <f t="shared" si="1"/>
        <v>Малая</v>
      </c>
      <c r="H15" s="8" t="str">
        <f t="shared" si="2"/>
        <v>Транспорт</v>
      </c>
    </row>
    <row r="16" spans="1:13" x14ac:dyDescent="0.25">
      <c r="A16" s="4">
        <v>45397</v>
      </c>
      <c r="B16" s="5" t="s">
        <v>55</v>
      </c>
      <c r="C16" s="6">
        <v>800</v>
      </c>
      <c r="D16" s="5" t="s">
        <v>60</v>
      </c>
      <c r="E16" s="5" t="s">
        <v>57</v>
      </c>
      <c r="F16" s="7" t="str">
        <f t="shared" si="0"/>
        <v>апрель</v>
      </c>
      <c r="G16" s="8" t="str">
        <f t="shared" si="1"/>
        <v>Малая</v>
      </c>
      <c r="H16" s="8" t="str">
        <f t="shared" si="2"/>
        <v>Питание</v>
      </c>
    </row>
    <row r="17" spans="1:8" x14ac:dyDescent="0.25">
      <c r="A17" s="4">
        <v>45402</v>
      </c>
      <c r="B17" s="5" t="s">
        <v>75</v>
      </c>
      <c r="C17" s="6">
        <v>1200</v>
      </c>
      <c r="D17" s="5" t="s">
        <v>76</v>
      </c>
      <c r="E17" s="5" t="s">
        <v>57</v>
      </c>
      <c r="F17" s="7" t="str">
        <f t="shared" si="0"/>
        <v>апрель</v>
      </c>
      <c r="G17" s="8" t="str">
        <f t="shared" si="1"/>
        <v>Средняя</v>
      </c>
      <c r="H17" s="8" t="str">
        <f t="shared" si="2"/>
        <v>Здоровье</v>
      </c>
    </row>
    <row r="18" spans="1:8" x14ac:dyDescent="0.25">
      <c r="A18" s="4">
        <v>45414</v>
      </c>
      <c r="B18" s="5" t="s">
        <v>55</v>
      </c>
      <c r="C18" s="6">
        <v>450</v>
      </c>
      <c r="D18" s="5" t="s">
        <v>77</v>
      </c>
      <c r="E18" s="5" t="s">
        <v>57</v>
      </c>
      <c r="F18" s="7" t="str">
        <f t="shared" si="0"/>
        <v>май</v>
      </c>
      <c r="G18" s="8" t="str">
        <f t="shared" si="1"/>
        <v>Малая</v>
      </c>
      <c r="H18" s="8" t="str">
        <f t="shared" si="2"/>
        <v>Питание</v>
      </c>
    </row>
    <row r="19" spans="1:8" x14ac:dyDescent="0.25">
      <c r="A19" s="4">
        <v>45422</v>
      </c>
      <c r="B19" s="5" t="s">
        <v>61</v>
      </c>
      <c r="C19" s="6">
        <v>1200</v>
      </c>
      <c r="D19" s="5" t="s">
        <v>78</v>
      </c>
      <c r="E19" s="5" t="s">
        <v>57</v>
      </c>
      <c r="F19" s="7" t="str">
        <f t="shared" si="0"/>
        <v>май</v>
      </c>
      <c r="G19" s="8" t="str">
        <f t="shared" si="1"/>
        <v>Средняя</v>
      </c>
      <c r="H19" s="8" t="str">
        <f t="shared" si="2"/>
        <v>Транспорт</v>
      </c>
    </row>
    <row r="20" spans="1:8" x14ac:dyDescent="0.25">
      <c r="A20" s="4">
        <v>45427</v>
      </c>
      <c r="B20" s="5" t="s">
        <v>63</v>
      </c>
      <c r="C20" s="6">
        <v>52000</v>
      </c>
      <c r="D20" s="5" t="s">
        <v>63</v>
      </c>
      <c r="E20" s="5" t="s">
        <v>65</v>
      </c>
      <c r="F20" s="7" t="str">
        <f t="shared" si="0"/>
        <v>май</v>
      </c>
      <c r="G20" s="8" t="str">
        <f t="shared" si="1"/>
        <v>Крупная</v>
      </c>
      <c r="H20" s="8" t="str">
        <f t="shared" si="2"/>
        <v>Доходы</v>
      </c>
    </row>
    <row r="21" spans="1:8" x14ac:dyDescent="0.25">
      <c r="A21" s="4">
        <v>45430</v>
      </c>
      <c r="B21" s="5" t="s">
        <v>67</v>
      </c>
      <c r="C21" s="6">
        <v>1500</v>
      </c>
      <c r="D21" s="5" t="s">
        <v>79</v>
      </c>
      <c r="E21" s="5" t="s">
        <v>57</v>
      </c>
      <c r="F21" s="7" t="str">
        <f t="shared" si="0"/>
        <v>май</v>
      </c>
      <c r="G21" s="8" t="str">
        <f t="shared" si="1"/>
        <v>Средняя</v>
      </c>
      <c r="H21" s="8" t="str">
        <f t="shared" si="2"/>
        <v>Развлечения</v>
      </c>
    </row>
    <row r="22" spans="1:8" x14ac:dyDescent="0.25">
      <c r="A22" s="4">
        <v>45437</v>
      </c>
      <c r="B22" s="5" t="s">
        <v>59</v>
      </c>
      <c r="C22" s="6">
        <v>1300</v>
      </c>
      <c r="D22" s="5" t="s">
        <v>60</v>
      </c>
      <c r="E22" s="5" t="s">
        <v>57</v>
      </c>
      <c r="F22" s="7" t="str">
        <f t="shared" si="0"/>
        <v>май</v>
      </c>
      <c r="G22" s="8" t="str">
        <f t="shared" si="1"/>
        <v>Средняя</v>
      </c>
      <c r="H22" s="8" t="str">
        <f t="shared" si="2"/>
        <v>Развлечения</v>
      </c>
    </row>
    <row r="23" spans="1:8" x14ac:dyDescent="0.25">
      <c r="A23" s="4">
        <v>45444</v>
      </c>
      <c r="B23" s="5" t="s">
        <v>61</v>
      </c>
      <c r="C23" s="6">
        <v>600</v>
      </c>
      <c r="D23" s="5" t="s">
        <v>62</v>
      </c>
      <c r="E23" s="5" t="s">
        <v>57</v>
      </c>
      <c r="F23" s="7" t="str">
        <f t="shared" si="0"/>
        <v>июнь</v>
      </c>
      <c r="G23" s="8" t="str">
        <f t="shared" si="1"/>
        <v>Малая</v>
      </c>
      <c r="H23" s="8" t="str">
        <f t="shared" si="2"/>
        <v>Транспорт</v>
      </c>
    </row>
    <row r="24" spans="1:8" x14ac:dyDescent="0.25">
      <c r="A24" s="4">
        <v>45448</v>
      </c>
      <c r="B24" s="5" t="s">
        <v>80</v>
      </c>
      <c r="C24" s="6">
        <v>4000</v>
      </c>
      <c r="D24" s="5" t="s">
        <v>81</v>
      </c>
      <c r="E24" s="5" t="s">
        <v>57</v>
      </c>
      <c r="F24" s="7" t="str">
        <f t="shared" si="0"/>
        <v>июнь</v>
      </c>
      <c r="G24" s="8" t="str">
        <f t="shared" si="1"/>
        <v>Средняя</v>
      </c>
      <c r="H24" s="8" t="str">
        <f t="shared" si="2"/>
        <v>Одежда</v>
      </c>
    </row>
    <row r="25" spans="1:8" x14ac:dyDescent="0.25">
      <c r="A25" s="4">
        <v>45453</v>
      </c>
      <c r="B25" s="5" t="s">
        <v>63</v>
      </c>
      <c r="C25" s="6">
        <v>53000</v>
      </c>
      <c r="D25" s="5" t="s">
        <v>63</v>
      </c>
      <c r="E25" s="5" t="s">
        <v>65</v>
      </c>
      <c r="F25" s="7" t="str">
        <f t="shared" si="0"/>
        <v>июнь</v>
      </c>
      <c r="G25" s="8" t="str">
        <f t="shared" si="1"/>
        <v>Крупная</v>
      </c>
      <c r="H25" s="8" t="str">
        <f t="shared" si="2"/>
        <v>Доходы</v>
      </c>
    </row>
    <row r="26" spans="1:8" x14ac:dyDescent="0.25">
      <c r="A26" s="4">
        <v>45458</v>
      </c>
      <c r="B26" s="5" t="s">
        <v>70</v>
      </c>
      <c r="C26" s="6">
        <v>800</v>
      </c>
      <c r="D26" s="5" t="s">
        <v>82</v>
      </c>
      <c r="E26" s="5" t="s">
        <v>57</v>
      </c>
      <c r="F26" s="7" t="str">
        <f t="shared" si="0"/>
        <v>июнь</v>
      </c>
      <c r="G26" s="8" t="str">
        <f t="shared" si="1"/>
        <v>Малая</v>
      </c>
      <c r="H26" s="8" t="str">
        <f t="shared" si="2"/>
        <v>Подарки</v>
      </c>
    </row>
    <row r="27" spans="1:8" x14ac:dyDescent="0.25">
      <c r="A27" s="4">
        <v>45463</v>
      </c>
      <c r="B27" s="5" t="s">
        <v>55</v>
      </c>
      <c r="C27" s="6">
        <v>700</v>
      </c>
      <c r="D27" s="5" t="s">
        <v>69</v>
      </c>
      <c r="E27" s="5" t="s">
        <v>57</v>
      </c>
      <c r="F27" s="7" t="str">
        <f t="shared" si="0"/>
        <v>июнь</v>
      </c>
      <c r="G27" s="8" t="str">
        <f t="shared" si="1"/>
        <v>Малая</v>
      </c>
      <c r="H27" s="8" t="str">
        <f t="shared" si="2"/>
        <v>Питание</v>
      </c>
    </row>
    <row r="28" spans="1:8" x14ac:dyDescent="0.25">
      <c r="A28" s="4">
        <v>45468</v>
      </c>
      <c r="B28" s="5" t="s">
        <v>67</v>
      </c>
      <c r="C28" s="6">
        <v>900</v>
      </c>
      <c r="D28" s="5" t="s">
        <v>68</v>
      </c>
      <c r="E28" s="5" t="s">
        <v>57</v>
      </c>
      <c r="F28" s="7" t="str">
        <f t="shared" si="0"/>
        <v>июнь</v>
      </c>
      <c r="G28" s="8" t="str">
        <f t="shared" si="1"/>
        <v>Малая</v>
      </c>
      <c r="H28" s="8" t="str">
        <f t="shared" si="2"/>
        <v>Развлечения</v>
      </c>
    </row>
    <row r="29" spans="1:8" x14ac:dyDescent="0.25">
      <c r="A29" s="4">
        <v>45473</v>
      </c>
      <c r="B29" s="5" t="s">
        <v>71</v>
      </c>
      <c r="C29" s="6">
        <v>300</v>
      </c>
      <c r="D29" s="5" t="s">
        <v>83</v>
      </c>
      <c r="E29" s="5" t="s">
        <v>57</v>
      </c>
      <c r="F29" s="7" t="str">
        <f t="shared" si="0"/>
        <v>июнь</v>
      </c>
      <c r="G29" s="8" t="str">
        <f t="shared" si="1"/>
        <v>Малая</v>
      </c>
      <c r="H29" s="8" t="str">
        <f t="shared" si="2"/>
        <v>Прочее</v>
      </c>
    </row>
    <row r="30" spans="1:8" x14ac:dyDescent="0.25">
      <c r="A30" s="4">
        <v>45475</v>
      </c>
      <c r="B30" s="5" t="s">
        <v>61</v>
      </c>
      <c r="C30" s="6">
        <v>550</v>
      </c>
      <c r="D30" s="5" t="s">
        <v>74</v>
      </c>
      <c r="E30" s="5" t="s">
        <v>57</v>
      </c>
      <c r="F30" s="7" t="str">
        <f t="shared" si="0"/>
        <v>июль</v>
      </c>
      <c r="G30" s="8" t="str">
        <f t="shared" si="1"/>
        <v>Малая</v>
      </c>
      <c r="H30" s="8" t="str">
        <f t="shared" si="2"/>
        <v>Транспорт</v>
      </c>
    </row>
    <row r="31" spans="1:8" x14ac:dyDescent="0.25">
      <c r="A31" s="4">
        <v>45478</v>
      </c>
      <c r="B31" s="5" t="s">
        <v>55</v>
      </c>
      <c r="C31" s="6">
        <v>1200</v>
      </c>
      <c r="D31" s="5" t="s">
        <v>56</v>
      </c>
      <c r="E31" s="5" t="s">
        <v>57</v>
      </c>
      <c r="F31" s="7" t="str">
        <f t="shared" si="0"/>
        <v>июль</v>
      </c>
      <c r="G31" s="8" t="str">
        <f t="shared" si="1"/>
        <v>Средняя</v>
      </c>
      <c r="H31" s="8" t="str">
        <f t="shared" si="2"/>
        <v>Питание</v>
      </c>
    </row>
    <row r="32" spans="1:8" x14ac:dyDescent="0.25">
      <c r="A32" s="4">
        <v>45483</v>
      </c>
      <c r="B32" s="5" t="s">
        <v>63</v>
      </c>
      <c r="C32" s="6">
        <v>54000</v>
      </c>
      <c r="D32" s="5" t="s">
        <v>63</v>
      </c>
      <c r="E32" s="5" t="s">
        <v>65</v>
      </c>
      <c r="F32" s="7" t="str">
        <f t="shared" si="0"/>
        <v>июль</v>
      </c>
      <c r="G32" s="8" t="str">
        <f t="shared" si="1"/>
        <v>Крупная</v>
      </c>
      <c r="H32" s="8" t="str">
        <f t="shared" si="2"/>
        <v>Доходы</v>
      </c>
    </row>
    <row r="33" spans="1:8" x14ac:dyDescent="0.25">
      <c r="A33" s="4">
        <v>45485</v>
      </c>
      <c r="B33" s="5" t="s">
        <v>75</v>
      </c>
      <c r="C33" s="6">
        <v>2500</v>
      </c>
      <c r="D33" s="5" t="s">
        <v>84</v>
      </c>
      <c r="E33" s="5" t="s">
        <v>57</v>
      </c>
      <c r="F33" s="7" t="str">
        <f t="shared" si="0"/>
        <v>июль</v>
      </c>
      <c r="G33" s="8" t="str">
        <f t="shared" si="1"/>
        <v>Средняя</v>
      </c>
      <c r="H33" s="8" t="str">
        <f t="shared" si="2"/>
        <v>Здоровье</v>
      </c>
    </row>
    <row r="34" spans="1:8" x14ac:dyDescent="0.25">
      <c r="A34" s="4">
        <v>45488</v>
      </c>
      <c r="B34" s="5" t="s">
        <v>59</v>
      </c>
      <c r="C34" s="6">
        <v>1100</v>
      </c>
      <c r="D34" s="5" t="s">
        <v>85</v>
      </c>
      <c r="E34" s="5" t="s">
        <v>57</v>
      </c>
      <c r="F34" s="7" t="str">
        <f t="shared" si="0"/>
        <v>июль</v>
      </c>
      <c r="G34" s="8" t="str">
        <f t="shared" si="1"/>
        <v>Средняя</v>
      </c>
      <c r="H34" s="8" t="str">
        <f t="shared" si="2"/>
        <v>Развлечения</v>
      </c>
    </row>
    <row r="35" spans="1:8" x14ac:dyDescent="0.25">
      <c r="A35" s="4">
        <v>45491</v>
      </c>
      <c r="B35" s="5" t="s">
        <v>67</v>
      </c>
      <c r="C35" s="6">
        <v>2000</v>
      </c>
      <c r="D35" s="5" t="s">
        <v>86</v>
      </c>
      <c r="E35" s="5" t="s">
        <v>57</v>
      </c>
      <c r="F35" s="7" t="str">
        <f t="shared" si="0"/>
        <v>июль</v>
      </c>
      <c r="G35" s="8" t="str">
        <f t="shared" si="1"/>
        <v>Средняя</v>
      </c>
      <c r="H35" s="8" t="str">
        <f t="shared" si="2"/>
        <v>Развлечения</v>
      </c>
    </row>
    <row r="36" spans="1:8" x14ac:dyDescent="0.25">
      <c r="A36" s="4">
        <v>45495</v>
      </c>
      <c r="B36" s="5" t="s">
        <v>70</v>
      </c>
      <c r="C36" s="6">
        <v>5000</v>
      </c>
      <c r="D36" s="5" t="s">
        <v>70</v>
      </c>
      <c r="E36" s="5" t="s">
        <v>57</v>
      </c>
      <c r="F36" s="7" t="str">
        <f t="shared" si="0"/>
        <v>июль</v>
      </c>
      <c r="G36" s="8" t="str">
        <f t="shared" si="1"/>
        <v>Средняя</v>
      </c>
      <c r="H36" s="8" t="str">
        <f t="shared" si="2"/>
        <v>Подарки</v>
      </c>
    </row>
    <row r="37" spans="1:8" x14ac:dyDescent="0.25">
      <c r="A37" s="4">
        <v>45498</v>
      </c>
      <c r="B37" s="5" t="s">
        <v>55</v>
      </c>
      <c r="C37" s="6">
        <v>900</v>
      </c>
      <c r="D37" s="5" t="s">
        <v>60</v>
      </c>
      <c r="E37" s="5" t="s">
        <v>57</v>
      </c>
      <c r="F37" s="7" t="str">
        <f t="shared" si="0"/>
        <v>июль</v>
      </c>
      <c r="G37" s="8" t="str">
        <f t="shared" si="1"/>
        <v>Малая</v>
      </c>
      <c r="H37" s="8" t="str">
        <f t="shared" si="2"/>
        <v>Питание</v>
      </c>
    </row>
    <row r="38" spans="1:8" x14ac:dyDescent="0.25">
      <c r="A38" s="4">
        <v>45501</v>
      </c>
      <c r="B38" s="5" t="s">
        <v>61</v>
      </c>
      <c r="C38" s="6">
        <v>400</v>
      </c>
      <c r="D38" s="5" t="s">
        <v>62</v>
      </c>
      <c r="E38" s="5" t="s">
        <v>57</v>
      </c>
      <c r="F38" s="7" t="str">
        <f t="shared" si="0"/>
        <v>июль</v>
      </c>
      <c r="G38" s="8" t="str">
        <f t="shared" si="1"/>
        <v>Малая</v>
      </c>
      <c r="H38" s="8" t="str">
        <f t="shared" si="2"/>
        <v>Транспорт</v>
      </c>
    </row>
    <row r="39" spans="1:8" x14ac:dyDescent="0.25">
      <c r="A39" s="4">
        <v>45505</v>
      </c>
      <c r="B39" s="5" t="s">
        <v>71</v>
      </c>
      <c r="C39" s="6">
        <v>200</v>
      </c>
      <c r="D39" s="5" t="s">
        <v>87</v>
      </c>
      <c r="E39" s="5" t="s">
        <v>57</v>
      </c>
      <c r="F39" s="7" t="str">
        <f t="shared" si="0"/>
        <v>август</v>
      </c>
      <c r="G39" s="8" t="str">
        <f t="shared" si="1"/>
        <v>Малая</v>
      </c>
      <c r="H39" s="8" t="str">
        <f t="shared" si="2"/>
        <v>Прочее</v>
      </c>
    </row>
    <row r="40" spans="1:8" x14ac:dyDescent="0.25">
      <c r="A40" s="4">
        <v>45509</v>
      </c>
      <c r="B40" s="5" t="s">
        <v>55</v>
      </c>
      <c r="C40" s="6">
        <v>650</v>
      </c>
      <c r="D40" s="5" t="s">
        <v>69</v>
      </c>
      <c r="E40" s="5" t="s">
        <v>57</v>
      </c>
      <c r="F40" s="7" t="str">
        <f t="shared" si="0"/>
        <v>август</v>
      </c>
      <c r="G40" s="8" t="str">
        <f t="shared" si="1"/>
        <v>Малая</v>
      </c>
      <c r="H40" s="8" t="str">
        <f t="shared" si="2"/>
        <v>Питание</v>
      </c>
    </row>
    <row r="41" spans="1:8" x14ac:dyDescent="0.25">
      <c r="A41" s="4">
        <v>45514</v>
      </c>
      <c r="B41" s="5" t="s">
        <v>63</v>
      </c>
      <c r="C41" s="6">
        <v>56000</v>
      </c>
      <c r="D41" s="5" t="s">
        <v>63</v>
      </c>
      <c r="E41" s="5" t="s">
        <v>65</v>
      </c>
      <c r="F41" s="7" t="str">
        <f t="shared" si="0"/>
        <v>август</v>
      </c>
      <c r="G41" s="8" t="str">
        <f t="shared" si="1"/>
        <v>Крупная</v>
      </c>
      <c r="H41" s="8" t="str">
        <f t="shared" si="2"/>
        <v>Доходы</v>
      </c>
    </row>
    <row r="42" spans="1:8" x14ac:dyDescent="0.25">
      <c r="A42" s="4">
        <v>45516</v>
      </c>
      <c r="B42" s="5" t="s">
        <v>80</v>
      </c>
      <c r="C42" s="6">
        <v>3000</v>
      </c>
      <c r="D42" s="5" t="s">
        <v>88</v>
      </c>
      <c r="E42" s="5" t="s">
        <v>57</v>
      </c>
      <c r="F42" s="7" t="str">
        <f t="shared" si="0"/>
        <v>август</v>
      </c>
      <c r="G42" s="8" t="str">
        <f t="shared" si="1"/>
        <v>Средняя</v>
      </c>
      <c r="H42" s="8" t="str">
        <f t="shared" si="2"/>
        <v>Одежда</v>
      </c>
    </row>
    <row r="43" spans="1:8" x14ac:dyDescent="0.25">
      <c r="A43" s="4">
        <v>45519</v>
      </c>
      <c r="B43" s="5" t="s">
        <v>67</v>
      </c>
      <c r="C43" s="6">
        <v>1200</v>
      </c>
      <c r="D43" s="5" t="s">
        <v>89</v>
      </c>
      <c r="E43" s="5" t="s">
        <v>57</v>
      </c>
      <c r="F43" s="7" t="str">
        <f t="shared" si="0"/>
        <v>август</v>
      </c>
      <c r="G43" s="8" t="str">
        <f t="shared" si="1"/>
        <v>Средняя</v>
      </c>
      <c r="H43" s="8" t="str">
        <f t="shared" si="2"/>
        <v>Развлечения</v>
      </c>
    </row>
    <row r="44" spans="1:8" x14ac:dyDescent="0.25">
      <c r="A44" s="4">
        <v>45522</v>
      </c>
      <c r="B44" s="5" t="s">
        <v>59</v>
      </c>
      <c r="C44" s="6">
        <v>1800</v>
      </c>
      <c r="D44" s="5" t="s">
        <v>60</v>
      </c>
      <c r="E44" s="5" t="s">
        <v>57</v>
      </c>
      <c r="F44" s="7" t="str">
        <f t="shared" si="0"/>
        <v>август</v>
      </c>
      <c r="G44" s="8" t="str">
        <f t="shared" si="1"/>
        <v>Средняя</v>
      </c>
      <c r="H44" s="8" t="str">
        <f t="shared" si="2"/>
        <v>Развлечения</v>
      </c>
    </row>
    <row r="45" spans="1:8" x14ac:dyDescent="0.25">
      <c r="A45" s="4">
        <v>45526</v>
      </c>
      <c r="B45" s="5" t="s">
        <v>61</v>
      </c>
      <c r="C45" s="6">
        <v>700</v>
      </c>
      <c r="D45" s="5" t="s">
        <v>90</v>
      </c>
      <c r="E45" s="5" t="s">
        <v>57</v>
      </c>
      <c r="F45" s="7" t="str">
        <f t="shared" si="0"/>
        <v>август</v>
      </c>
      <c r="G45" s="8" t="str">
        <f t="shared" si="1"/>
        <v>Малая</v>
      </c>
      <c r="H45" s="8" t="str">
        <f t="shared" si="2"/>
        <v>Транспорт</v>
      </c>
    </row>
    <row r="46" spans="1:8" x14ac:dyDescent="0.25">
      <c r="A46" s="4">
        <v>45529</v>
      </c>
      <c r="B46" s="5" t="s">
        <v>55</v>
      </c>
      <c r="C46" s="6">
        <v>1400</v>
      </c>
      <c r="D46" s="5" t="s">
        <v>56</v>
      </c>
      <c r="E46" s="5" t="s">
        <v>57</v>
      </c>
      <c r="F46" s="7" t="str">
        <f t="shared" si="0"/>
        <v>август</v>
      </c>
      <c r="G46" s="8" t="str">
        <f t="shared" si="1"/>
        <v>Средняя</v>
      </c>
      <c r="H46" s="8" t="str">
        <f t="shared" si="2"/>
        <v>Питание</v>
      </c>
    </row>
    <row r="47" spans="1:8" x14ac:dyDescent="0.25">
      <c r="A47" s="4">
        <v>45532</v>
      </c>
      <c r="B47" s="5" t="s">
        <v>70</v>
      </c>
      <c r="C47" s="6">
        <v>1500</v>
      </c>
      <c r="D47" s="5" t="s">
        <v>91</v>
      </c>
      <c r="E47" s="5" t="s">
        <v>57</v>
      </c>
      <c r="F47" s="7" t="str">
        <f t="shared" si="0"/>
        <v>август</v>
      </c>
      <c r="G47" s="8" t="str">
        <f t="shared" si="1"/>
        <v>Средняя</v>
      </c>
      <c r="H47" s="8" t="str">
        <f t="shared" si="2"/>
        <v>Подарки</v>
      </c>
    </row>
  </sheetData>
  <conditionalFormatting sqref="A1:H1">
    <cfRule type="notContainsBlanks" dxfId="25" priority="7">
      <formula>LEN(TRIM(A1))&gt;0</formula>
    </cfRule>
  </conditionalFormatting>
  <conditionalFormatting sqref="M3:M10">
    <cfRule type="cellIs" dxfId="24" priority="1" operator="lessThan">
      <formula>0</formula>
    </cfRule>
    <cfRule type="cellIs" dxfId="23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"/>
  <sheetViews>
    <sheetView showGridLines="0" tabSelected="1" topLeftCell="M36" zoomScaleNormal="100" workbookViewId="0">
      <selection activeCell="D40" sqref="D40"/>
    </sheetView>
  </sheetViews>
  <sheetFormatPr defaultRowHeight="13.2" x14ac:dyDescent="0.25"/>
  <cols>
    <col min="1" max="1" width="27.5546875" customWidth="1"/>
    <col min="2" max="2" width="29" bestFit="1" customWidth="1"/>
    <col min="3" max="3" width="16.6640625" bestFit="1" customWidth="1"/>
    <col min="4" max="4" width="15.77734375" bestFit="1" customWidth="1"/>
    <col min="5" max="5" width="16.33203125" customWidth="1"/>
    <col min="6" max="6" width="10.109375" customWidth="1"/>
    <col min="7" max="7" width="12" customWidth="1"/>
    <col min="8" max="8" width="21.44140625" customWidth="1"/>
    <col min="9" max="9" width="4" customWidth="1"/>
    <col min="10" max="10" width="22.44140625" bestFit="1" customWidth="1"/>
    <col min="11" max="11" width="28.6640625" bestFit="1" customWidth="1"/>
    <col min="12" max="12" width="29.88671875" bestFit="1" customWidth="1"/>
    <col min="13" max="13" width="7.21875" bestFit="1" customWidth="1"/>
    <col min="14" max="14" width="19.21875" customWidth="1"/>
    <col min="15" max="15" width="20" customWidth="1"/>
    <col min="16" max="17" width="4" customWidth="1"/>
    <col min="18" max="25" width="5" customWidth="1"/>
    <col min="26" max="26" width="11.6640625" bestFit="1" customWidth="1"/>
    <col min="27" max="27" width="14.88671875" bestFit="1" customWidth="1"/>
    <col min="28" max="29" width="5" customWidth="1"/>
    <col min="30" max="35" width="6" customWidth="1"/>
    <col min="36" max="36" width="8" customWidth="1"/>
    <col min="37" max="37" width="7.44140625" customWidth="1"/>
    <col min="38" max="38" width="11.88671875" customWidth="1"/>
    <col min="39" max="40" width="8.88671875" customWidth="1"/>
    <col min="42" max="42" width="8.88671875" customWidth="1"/>
  </cols>
  <sheetData>
    <row r="1" spans="1:27" ht="21.6" customHeight="1" x14ac:dyDescent="0.35">
      <c r="A1" s="19" t="s">
        <v>102</v>
      </c>
      <c r="B1" s="40">
        <f>SUMIFS(Cleaned_data!C:C,Cleaned_data!E:E,"Доход")</f>
        <v>1320000</v>
      </c>
      <c r="C1" s="15"/>
      <c r="D1" s="45" t="s">
        <v>52</v>
      </c>
      <c r="E1" s="45" t="s">
        <v>65</v>
      </c>
      <c r="F1" s="45" t="s">
        <v>57</v>
      </c>
      <c r="G1" s="46" t="s">
        <v>100</v>
      </c>
      <c r="J1" s="36" t="s">
        <v>113</v>
      </c>
      <c r="K1" s="30" t="s">
        <v>114</v>
      </c>
      <c r="L1" s="31" t="s">
        <v>115</v>
      </c>
      <c r="M1" s="49"/>
      <c r="N1" s="53"/>
      <c r="O1" s="53"/>
      <c r="Z1" s="28"/>
      <c r="AA1" s="28"/>
    </row>
    <row r="2" spans="1:27" ht="21.6" x14ac:dyDescent="0.45">
      <c r="A2" s="20" t="s">
        <v>103</v>
      </c>
      <c r="B2" s="41">
        <f>SUMIFS(Cleaned_data!C:C,Cleaned_data!E:E,"Расход")</f>
        <v>49150</v>
      </c>
      <c r="C2" s="9"/>
      <c r="D2" s="47" t="s">
        <v>92</v>
      </c>
      <c r="E2" s="48">
        <v>0</v>
      </c>
      <c r="F2" s="48">
        <v>2550</v>
      </c>
      <c r="G2" s="48">
        <v>-2550</v>
      </c>
      <c r="J2" s="35" t="s">
        <v>95</v>
      </c>
      <c r="K2" s="37">
        <f t="shared" ref="K2:K9" si="0">IF(OR($J$2="все",$J$2=D2),VALUE(E2),0)</f>
        <v>0</v>
      </c>
      <c r="L2" s="33">
        <f t="shared" ref="L2:L9" si="1">IF(OR($J$2="все",$J$2=D2),VALUE(F2),0)</f>
        <v>0</v>
      </c>
      <c r="M2" s="49"/>
      <c r="N2" s="50"/>
      <c r="O2" s="51"/>
      <c r="Z2" s="9"/>
    </row>
    <row r="3" spans="1:27" ht="21.6" x14ac:dyDescent="0.45">
      <c r="A3" s="21" t="s">
        <v>104</v>
      </c>
      <c r="B3" s="42">
        <f>B1-B2</f>
        <v>1270850</v>
      </c>
      <c r="D3" s="47" t="s">
        <v>93</v>
      </c>
      <c r="E3" s="48">
        <v>105000</v>
      </c>
      <c r="F3" s="48">
        <v>4500</v>
      </c>
      <c r="G3" s="48">
        <f>E3-F3</f>
        <v>100500</v>
      </c>
      <c r="J3" s="32"/>
      <c r="K3" s="38">
        <f t="shared" si="0"/>
        <v>0</v>
      </c>
      <c r="L3" s="33">
        <f t="shared" si="1"/>
        <v>0</v>
      </c>
      <c r="M3" s="49"/>
      <c r="N3" s="50"/>
      <c r="O3" s="52"/>
    </row>
    <row r="4" spans="1:27" ht="19.8" customHeight="1" x14ac:dyDescent="0.45">
      <c r="A4" s="22" t="s">
        <v>105</v>
      </c>
      <c r="B4" s="43">
        <f>B1/B2</f>
        <v>26.856561546286876</v>
      </c>
      <c r="D4" s="47" t="s">
        <v>94</v>
      </c>
      <c r="E4" s="48">
        <v>0</v>
      </c>
      <c r="F4" s="48">
        <v>3100</v>
      </c>
      <c r="G4" s="48">
        <f t="shared" ref="G4:G9" si="2">E4-F4</f>
        <v>-3100</v>
      </c>
      <c r="J4" s="32"/>
      <c r="K4" s="38">
        <f t="shared" si="0"/>
        <v>0</v>
      </c>
      <c r="L4" s="33">
        <f t="shared" si="1"/>
        <v>0</v>
      </c>
      <c r="M4" s="49"/>
      <c r="N4" s="50"/>
      <c r="O4" s="52"/>
    </row>
    <row r="5" spans="1:27" ht="20.399999999999999" x14ac:dyDescent="0.35">
      <c r="A5" s="23" t="s">
        <v>106</v>
      </c>
      <c r="B5" s="18" t="str">
        <f>"апрель"</f>
        <v>апрель</v>
      </c>
      <c r="C5" s="9"/>
      <c r="D5" s="47" t="s">
        <v>95</v>
      </c>
      <c r="E5" s="48">
        <v>1000000</v>
      </c>
      <c r="F5" s="48">
        <v>3150</v>
      </c>
      <c r="G5" s="48">
        <f t="shared" si="2"/>
        <v>996850</v>
      </c>
      <c r="J5" s="32"/>
      <c r="K5" s="38">
        <f t="shared" si="0"/>
        <v>1000000</v>
      </c>
      <c r="L5" s="33">
        <f t="shared" si="1"/>
        <v>3150</v>
      </c>
      <c r="M5" s="49"/>
      <c r="N5" s="49"/>
      <c r="O5" s="49"/>
    </row>
    <row r="6" spans="1:27" ht="19.2" customHeight="1" x14ac:dyDescent="0.35">
      <c r="D6" s="47" t="s">
        <v>96</v>
      </c>
      <c r="E6" s="48">
        <v>52000</v>
      </c>
      <c r="F6" s="48">
        <v>4450</v>
      </c>
      <c r="G6" s="48">
        <f t="shared" si="2"/>
        <v>47550</v>
      </c>
      <c r="J6" s="32"/>
      <c r="K6" s="38">
        <f t="shared" si="0"/>
        <v>0</v>
      </c>
      <c r="L6" s="33">
        <f t="shared" si="1"/>
        <v>0</v>
      </c>
    </row>
    <row r="7" spans="1:27" ht="19.8" customHeight="1" x14ac:dyDescent="0.35">
      <c r="A7" s="44"/>
      <c r="B7" s="44"/>
      <c r="C7" s="44"/>
      <c r="D7" s="47" t="s">
        <v>97</v>
      </c>
      <c r="E7" s="48">
        <v>53000</v>
      </c>
      <c r="F7" s="48">
        <v>7300</v>
      </c>
      <c r="G7" s="48">
        <f t="shared" si="2"/>
        <v>45700</v>
      </c>
      <c r="J7" s="32"/>
      <c r="K7" s="38">
        <f t="shared" si="0"/>
        <v>0</v>
      </c>
      <c r="L7" s="33">
        <f t="shared" si="1"/>
        <v>0</v>
      </c>
    </row>
    <row r="8" spans="1:27" ht="19.8" customHeight="1" x14ac:dyDescent="0.35">
      <c r="A8" s="44"/>
      <c r="B8" s="44"/>
      <c r="C8" s="44"/>
      <c r="D8" s="47" t="s">
        <v>98</v>
      </c>
      <c r="E8" s="48">
        <v>54000</v>
      </c>
      <c r="F8" s="48">
        <v>13650</v>
      </c>
      <c r="G8" s="48">
        <f t="shared" si="2"/>
        <v>40350</v>
      </c>
      <c r="H8" s="17"/>
      <c r="J8" s="32"/>
      <c r="K8" s="38">
        <f t="shared" si="0"/>
        <v>0</v>
      </c>
      <c r="L8" s="33">
        <f t="shared" si="1"/>
        <v>0</v>
      </c>
    </row>
    <row r="9" spans="1:27" ht="18" customHeight="1" x14ac:dyDescent="0.35">
      <c r="A9" s="44"/>
      <c r="B9" s="44"/>
      <c r="C9" s="44"/>
      <c r="D9" s="47" t="s">
        <v>99</v>
      </c>
      <c r="E9" s="48">
        <v>56000</v>
      </c>
      <c r="F9" s="48">
        <v>10450</v>
      </c>
      <c r="G9" s="48">
        <f t="shared" si="2"/>
        <v>45550</v>
      </c>
      <c r="H9" s="17"/>
      <c r="J9" s="32"/>
      <c r="K9" s="39">
        <f t="shared" si="0"/>
        <v>0</v>
      </c>
      <c r="L9" s="34">
        <f t="shared" si="1"/>
        <v>0</v>
      </c>
    </row>
    <row r="10" spans="1:27" x14ac:dyDescent="0.25">
      <c r="A10" s="44"/>
      <c r="B10" s="44"/>
      <c r="C10" s="44"/>
      <c r="D10" s="16"/>
      <c r="E10" s="17"/>
      <c r="G10" s="16"/>
      <c r="H10" s="17"/>
      <c r="J10" s="29"/>
      <c r="K10" s="29"/>
      <c r="L10" s="29"/>
    </row>
    <row r="11" spans="1:27" x14ac:dyDescent="0.25">
      <c r="A11" s="44"/>
      <c r="B11" s="44"/>
      <c r="C11" s="44"/>
      <c r="D11" s="16"/>
      <c r="E11" s="17"/>
      <c r="G11" s="16"/>
      <c r="H11" s="17"/>
    </row>
    <row r="12" spans="1:27" x14ac:dyDescent="0.25">
      <c r="A12" s="44"/>
      <c r="B12" s="44"/>
      <c r="C12" s="44"/>
      <c r="D12" s="16"/>
      <c r="E12" s="17"/>
      <c r="G12" s="16"/>
      <c r="H12" s="17"/>
    </row>
    <row r="13" spans="1:27" x14ac:dyDescent="0.25">
      <c r="A13" s="44"/>
      <c r="B13" s="44"/>
      <c r="C13" s="44"/>
      <c r="D13" s="16"/>
      <c r="E13" s="17"/>
      <c r="G13" s="16"/>
      <c r="H13" s="17"/>
    </row>
    <row r="14" spans="1:27" x14ac:dyDescent="0.25">
      <c r="A14" s="44"/>
      <c r="B14" s="44"/>
      <c r="C14" s="44"/>
      <c r="D14" s="16"/>
      <c r="E14" s="17"/>
      <c r="G14" s="16"/>
      <c r="H14" s="17"/>
    </row>
    <row r="15" spans="1:27" x14ac:dyDescent="0.25">
      <c r="A15" s="44"/>
      <c r="B15" s="44"/>
      <c r="C15" s="44"/>
      <c r="G15" s="16"/>
      <c r="H15" s="17"/>
    </row>
    <row r="16" spans="1:27" x14ac:dyDescent="0.25">
      <c r="A16" s="44"/>
      <c r="B16" s="44"/>
      <c r="C16" s="44"/>
      <c r="G16" s="16"/>
      <c r="H16" s="17"/>
    </row>
    <row r="17" spans="1:3" x14ac:dyDescent="0.25">
      <c r="A17" s="44"/>
      <c r="B17" s="44"/>
      <c r="C17" s="44"/>
    </row>
    <row r="18" spans="1:3" x14ac:dyDescent="0.25">
      <c r="A18" s="44"/>
      <c r="B18" s="44"/>
      <c r="C18" s="44"/>
    </row>
    <row r="19" spans="1:3" x14ac:dyDescent="0.25">
      <c r="A19" s="44"/>
      <c r="B19" s="44"/>
      <c r="C19" s="44"/>
    </row>
    <row r="20" spans="1:3" x14ac:dyDescent="0.25">
      <c r="A20" s="44"/>
      <c r="B20" s="44"/>
      <c r="C20" s="44"/>
    </row>
    <row r="38" spans="4:5" ht="15" x14ac:dyDescent="0.25">
      <c r="D38" s="24" t="s">
        <v>111</v>
      </c>
      <c r="E38" s="25" t="s">
        <v>57</v>
      </c>
    </row>
    <row r="39" spans="4:5" ht="15" x14ac:dyDescent="0.25">
      <c r="D39" s="25"/>
      <c r="E39" s="25"/>
    </row>
    <row r="40" spans="4:5" ht="15" x14ac:dyDescent="0.25">
      <c r="D40" s="24" t="s">
        <v>112</v>
      </c>
      <c r="E40" s="25" t="s">
        <v>110</v>
      </c>
    </row>
    <row r="41" spans="4:5" ht="15" x14ac:dyDescent="0.25">
      <c r="D41" s="26" t="s">
        <v>75</v>
      </c>
      <c r="E41" s="27">
        <v>3700</v>
      </c>
    </row>
    <row r="42" spans="4:5" ht="15" x14ac:dyDescent="0.25">
      <c r="D42" s="26" t="s">
        <v>80</v>
      </c>
      <c r="E42" s="27">
        <v>7000</v>
      </c>
    </row>
    <row r="43" spans="4:5" ht="15" x14ac:dyDescent="0.25">
      <c r="D43" s="26" t="s">
        <v>108</v>
      </c>
      <c r="E43" s="27">
        <v>11900</v>
      </c>
    </row>
    <row r="44" spans="4:5" ht="15" x14ac:dyDescent="0.25">
      <c r="D44" s="26" t="s">
        <v>109</v>
      </c>
      <c r="E44" s="27">
        <v>9800</v>
      </c>
    </row>
    <row r="45" spans="4:5" ht="15" x14ac:dyDescent="0.25">
      <c r="D45" s="26" t="s">
        <v>71</v>
      </c>
      <c r="E45" s="27">
        <v>650</v>
      </c>
    </row>
    <row r="46" spans="4:5" ht="15" x14ac:dyDescent="0.25">
      <c r="D46" s="26" t="s">
        <v>67</v>
      </c>
      <c r="E46" s="27">
        <v>11350</v>
      </c>
    </row>
    <row r="47" spans="4:5" ht="15" x14ac:dyDescent="0.25">
      <c r="D47" s="26" t="s">
        <v>61</v>
      </c>
      <c r="E47" s="27">
        <v>4750</v>
      </c>
    </row>
    <row r="48" spans="4:5" ht="15" x14ac:dyDescent="0.25">
      <c r="D48" s="26" t="s">
        <v>107</v>
      </c>
      <c r="E48" s="27">
        <v>49150</v>
      </c>
    </row>
  </sheetData>
  <mergeCells count="1">
    <mergeCell ref="N1:O1"/>
  </mergeCells>
  <conditionalFormatting sqref="G2:G9">
    <cfRule type="cellIs" dxfId="22" priority="15" operator="lessThan">
      <formula>0</formula>
    </cfRule>
    <cfRule type="cellIs" dxfId="21" priority="16" operator="greaterThan">
      <formula>0</formula>
    </cfRule>
  </conditionalFormatting>
  <conditionalFormatting sqref="E2:G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4">
    <cfRule type="cellIs" dxfId="20" priority="3" operator="equal">
      <formula>49150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8">
      <dataBar>
        <cfvo type="num" val="13200000"/>
        <cfvo type="max"/>
        <color theme="7" tint="0.39997558519241921"/>
      </dataBar>
      <extLst>
        <ext xmlns:x14="http://schemas.microsoft.com/office/spreadsheetml/2009/9/main" uri="{B025F937-C7B1-47D3-B67F-A62EFF666E3E}">
          <x14:id>{E4A9385B-9320-42AB-864C-1CDE1B1720F8}</x14:id>
        </ext>
      </extLst>
    </cfRule>
    <cfRule type="cellIs" dxfId="19" priority="9" operator="equal">
      <formula>1270850</formula>
    </cfRule>
    <cfRule type="cellIs" dxfId="18" priority="10" operator="equal">
      <formula>49150</formula>
    </cfRule>
    <cfRule type="cellIs" dxfId="17" priority="11" operator="greaterThan">
      <formula>1300000</formula>
    </cfRule>
    <cfRule type="cellIs" dxfId="16" priority="12" operator="greaterThan">
      <formula>684575</formula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{C7A7A636-E916-4FF5-BF1C-77EFBD2B4BAA}</x14:id>
        </ext>
      </extLst>
    </cfRule>
  </conditionalFormatting>
  <conditionalFormatting sqref="O4">
    <cfRule type="cellIs" dxfId="15" priority="2" operator="equal">
      <formula>1270850</formula>
    </cfRule>
  </conditionalFormatting>
  <conditionalFormatting sqref="O2">
    <cfRule type="cellIs" dxfId="14" priority="1" operator="equal">
      <formula>1320000</formula>
    </cfRule>
  </conditionalFormatting>
  <dataValidations count="1">
    <dataValidation type="list" allowBlank="1" showInputMessage="1" showErrorMessage="1" sqref="Z2 J2">
      <formula1>$D$2:$D$9</formula1>
    </dataValidation>
  </dataValidations>
  <pageMargins left="0.7" right="0.7" top="0.75" bottom="0.75" header="0.3" footer="0.3"/>
  <pageSetup paperSize="9" orientation="portrait" verticalDpi="0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A9385B-9320-42AB-864C-1CDE1B1720F8}">
            <x14:dataBar minLength="0" maxLength="100">
              <x14:cfvo type="num">
                <xm:f>13200000</xm:f>
              </x14:cfvo>
              <x14:cfvo type="autoMax"/>
              <x14:negativeFillColor rgb="FFFF0000"/>
              <x14:axisColor rgb="FF000000"/>
            </x14:dataBar>
          </x14:cfRule>
          <x14:cfRule type="dataBar" id="{C7A7A636-E916-4FF5-BF1C-77EFBD2B4B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Радима</dc:creator>
  <cp:lastModifiedBy>User</cp:lastModifiedBy>
  <dcterms:created xsi:type="dcterms:W3CDTF">2025-10-23T19:25:46Z</dcterms:created>
  <dcterms:modified xsi:type="dcterms:W3CDTF">2025-11-14T20:58:50Z</dcterms:modified>
</cp:coreProperties>
</file>